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Risk_Scenarios" sheetId="2" state="visible" r:id="rId2"/>
    <sheet xmlns:r="http://schemas.openxmlformats.org/officeDocument/2006/relationships" name="Mitigation_Actions" sheetId="3" state="visible" r:id="rId3"/>
    <sheet xmlns:r="http://schemas.openxmlformats.org/officeDocument/2006/relationships" name="Risk_Heat_Map" sheetId="4" state="visible" r:id="rId4"/>
    <sheet xmlns:r="http://schemas.openxmlformats.org/officeDocument/2006/relationships" name="Risk_Categories_Summary" sheetId="5" state="visible" r:id="rId5"/>
    <sheet xmlns:r="http://schemas.openxmlformats.org/officeDocument/2006/relationships" name="Executive_Dashboard" sheetId="6" state="visible" r:id="rId6"/>
    <sheet xmlns:r="http://schemas.openxmlformats.org/officeDocument/2006/relationships" name="Risk_Assessment_History" sheetId="7" state="visible" r:id="rId7"/>
    <sheet xmlns:r="http://schemas.openxmlformats.org/officeDocument/2006/relationships" name="Risk_Scenario_Templates" sheetId="8" state="visible" r:id="rId8"/>
  </sheets>
  <definedNames>
    <definedName name="Risk_Category_List">Lists!$A$1:Lists!$A$10</definedName>
    <definedName name="Likelihood_Scale">Lists!$B$1:Lists!$B$5</definedName>
    <definedName name="Impact_Scale">Lists!$C$1:Lists!$C$5</definedName>
    <definedName name="Control_Effectiveness_List">Lists!$D$1:Lists!$D$4</definedName>
    <definedName name="Risk_Response_List">Lists!$E$1:Lists!$E$4</definedName>
    <definedName name="Mitigation_Priority_List">Lists!$F$1:Lists!$F$4</definedName>
    <definedName name="Status_List_Risks">Lists!$G$1:Lists!$G$5</definedName>
    <definedName name="Status_List_Actions">Lists!$H$1:Lists!$H$5</definedName>
    <definedName name="Action_Type_List">Lists!$I$1:Lists!$I$9</definedName>
    <definedName name="Target_Risk_List">Lists!$J$1:Lists!$J$25</definedName>
    <definedName name="_xlnm._FilterDatabase" localSheetId="1" hidden="1">'Risk_Scenarios'!$A$1:$Z$1001</definedName>
    <definedName name="_xlnm.Print_Titles" localSheetId="1">'Risk_Scenarios'!1:1</definedName>
    <definedName name="_xlnm._FilterDatabase" localSheetId="2" hidden="1">'Mitigation_Actions'!$A$1:$O$1001</definedName>
    <definedName name="_xlnm.Print_Titles" localSheetId="2">'Mitigation_Actions'!1:1</definedName>
    <definedName name="_xlnm.Print_Titles" localSheetId="3">'Risk_Heat_Map'!1:1</definedName>
    <definedName name="_xlnm.Print_Titles" localSheetId="4">'Risk_Categories_Summary'!1:1</definedName>
    <definedName name="_xlnm.Print_Titles" localSheetId="5">'Executive_Dashboard'!1:1</definedName>
    <definedName name="_xlnm.Print_Titles" localSheetId="6">'Risk_Assessment_History'!1:1</definedName>
    <definedName name="_xlnm.Print_Titles" localSheetId="7">'Risk_Scenario_Templates'!1:1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 h:mm:ss"/>
    <numFmt numFmtId="166" formatCode="&quot;$&quot;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  <font>
      <b val="1"/>
      <sz val="12"/>
    </font>
    <font>
      <b val="1"/>
    </font>
    <font>
      <i val="1"/>
      <sz val="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3">
    <dxf>
      <font>
        <color rgb="00FFFFFF"/>
      </font>
      <fill>
        <patternFill patternType="solid">
          <fgColor rgb="009C000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ont>
        <color rgb="00FFFFFF"/>
      </font>
      <fill>
        <patternFill patternType="solid">
          <fgColor rgb="0000B050"/>
        </patternFill>
      </fill>
    </dxf>
    <dxf>
      <font>
        <color rgb="009C0006"/>
      </font>
      <fill>
        <patternFill patternType="solid">
          <fgColor rgb="00F4CCCC"/>
        </patternFill>
      </fill>
    </dxf>
    <dxf>
      <font>
        <color rgb="00000000"/>
      </font>
      <fill>
        <patternFill patternType="solid">
          <fgColor rgb="00FFF2CC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2F2F2"/>
        </patternFill>
      </fill>
    </dxf>
    <dxf>
      <font>
        <color rgb="00000000"/>
      </font>
      <fill>
        <patternFill patternType="solid">
          <fgColor rgb="00F2F2F2"/>
        </patternFill>
      </fill>
    </dxf>
    <dxf>
      <fill>
        <patternFill patternType="solid">
          <fgColor rgb="0000B05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'Executive_Dashboard'!E2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'Executive_Dashboard'!$D$3:$D$6</f>
            </numRef>
          </cat>
          <val>
            <numRef>
              <f>'Executive_Dashboard'!$E$3:$E$6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'Executive_Dashboard'!$G$3:$G$12</f>
            </numRef>
          </cat>
          <val>
            <numRef>
              <f>'Executive_Dashboard'!$H$3:$H$12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Inherent vs Residual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'Executive_Dashboard'!$J$3:$J$4</f>
            </numRef>
          </cat>
          <val>
            <numRef>
              <f>'Executive_Dashboard'!$K$3:$K$4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7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Cybersecurity and Information Security</t>
        </is>
      </c>
      <c r="B1" t="inlineStr">
        <is>
          <t>5 - Very High</t>
        </is>
      </c>
      <c r="C1" t="inlineStr">
        <is>
          <t>5 - Catastrophic</t>
        </is>
      </c>
      <c r="D1" t="inlineStr">
        <is>
          <t>Effective</t>
        </is>
      </c>
      <c r="E1" t="inlineStr">
        <is>
          <t>Mitigate</t>
        </is>
      </c>
      <c r="F1" t="inlineStr">
        <is>
          <t>Critical</t>
        </is>
      </c>
      <c r="G1" t="inlineStr">
        <is>
          <t>Active</t>
        </is>
      </c>
      <c r="H1" t="inlineStr">
        <is>
          <t>Not Started</t>
        </is>
      </c>
      <c r="I1" t="inlineStr">
        <is>
          <t>Preventive Control</t>
        </is>
      </c>
      <c r="J1" t="inlineStr">
        <is>
          <t>L: 1, I: 1 = Score 1</t>
        </is>
      </c>
    </row>
    <row r="2">
      <c r="A2" t="inlineStr">
        <is>
          <t>Operational and Technology</t>
        </is>
      </c>
      <c r="B2" t="inlineStr">
        <is>
          <t>4 - High</t>
        </is>
      </c>
      <c r="C2" t="inlineStr">
        <is>
          <t>4 - Major</t>
        </is>
      </c>
      <c r="D2" t="inlineStr">
        <is>
          <t>Partially Effective</t>
        </is>
      </c>
      <c r="E2" t="inlineStr">
        <is>
          <t>Accept</t>
        </is>
      </c>
      <c r="F2" t="inlineStr">
        <is>
          <t>High</t>
        </is>
      </c>
      <c r="G2" t="inlineStr">
        <is>
          <t>Monitoring</t>
        </is>
      </c>
      <c r="H2" t="inlineStr">
        <is>
          <t>In Progress</t>
        </is>
      </c>
      <c r="I2" t="inlineStr">
        <is>
          <t>Detective Control</t>
        </is>
      </c>
      <c r="J2" t="inlineStr">
        <is>
          <t>L: 1, I: 2 = Score 2</t>
        </is>
      </c>
    </row>
    <row r="3">
      <c r="A3" t="inlineStr">
        <is>
          <t>Compliance and Regulatory</t>
        </is>
      </c>
      <c r="B3" t="inlineStr">
        <is>
          <t>3 - Medium</t>
        </is>
      </c>
      <c r="C3" t="inlineStr">
        <is>
          <t>3 - Moderate</t>
        </is>
      </c>
      <c r="D3" t="inlineStr">
        <is>
          <t>Ineffective</t>
        </is>
      </c>
      <c r="E3" t="inlineStr">
        <is>
          <t>Transfer</t>
        </is>
      </c>
      <c r="F3" t="inlineStr">
        <is>
          <t>Medium</t>
        </is>
      </c>
      <c r="G3" t="inlineStr">
        <is>
          <t>Mitigated</t>
        </is>
      </c>
      <c r="H3" t="inlineStr">
        <is>
          <t>Blocked</t>
        </is>
      </c>
      <c r="I3" t="inlineStr">
        <is>
          <t>Corrective Control</t>
        </is>
      </c>
      <c r="J3" t="inlineStr">
        <is>
          <t>L: 1, I: 3 = Score 3</t>
        </is>
      </c>
    </row>
    <row r="4">
      <c r="A4" t="inlineStr">
        <is>
          <t>Third-Party and Vendor</t>
        </is>
      </c>
      <c r="B4" t="inlineStr">
        <is>
          <t>2 - Low</t>
        </is>
      </c>
      <c r="C4" t="inlineStr">
        <is>
          <t>2 - Minor</t>
        </is>
      </c>
      <c r="D4" t="inlineStr">
        <is>
          <t>None</t>
        </is>
      </c>
      <c r="E4" t="inlineStr">
        <is>
          <t>Avoid</t>
        </is>
      </c>
      <c r="F4" t="inlineStr">
        <is>
          <t>Low</t>
        </is>
      </c>
      <c r="G4" t="inlineStr">
        <is>
          <t>Accepted</t>
        </is>
      </c>
      <c r="H4" t="inlineStr">
        <is>
          <t>Complete</t>
        </is>
      </c>
      <c r="I4" t="inlineStr">
        <is>
          <t>Risk Transfer</t>
        </is>
      </c>
      <c r="J4" t="inlineStr">
        <is>
          <t>L: 1, I: 4 = Score 4</t>
        </is>
      </c>
    </row>
    <row r="5">
      <c r="A5" t="inlineStr">
        <is>
          <t>Business Continuity and Disaster Recovery</t>
        </is>
      </c>
      <c r="B5" t="inlineStr">
        <is>
          <t>1 - Very Low</t>
        </is>
      </c>
      <c r="C5" t="inlineStr">
        <is>
          <t>1 - Negligible</t>
        </is>
      </c>
      <c r="G5" t="inlineStr">
        <is>
          <t>Closed</t>
        </is>
      </c>
      <c r="H5" t="inlineStr">
        <is>
          <t>Cancelled</t>
        </is>
      </c>
      <c r="I5" t="inlineStr">
        <is>
          <t>Process Improvement</t>
        </is>
      </c>
      <c r="J5" t="inlineStr">
        <is>
          <t>L: 1, I: 5 = Score 5</t>
        </is>
      </c>
    </row>
    <row r="6">
      <c r="A6" t="inlineStr">
        <is>
          <t>Human Capital and Insider</t>
        </is>
      </c>
      <c r="I6" t="inlineStr">
        <is>
          <t>Technical Implementation</t>
        </is>
      </c>
      <c r="J6" t="inlineStr">
        <is>
          <t>L: 2, I: 1 = Score 2</t>
        </is>
      </c>
    </row>
    <row r="7">
      <c r="A7" t="inlineStr">
        <is>
          <t>Financial and Fraud</t>
        </is>
      </c>
      <c r="I7" t="inlineStr">
        <is>
          <t>Training/Awareness</t>
        </is>
      </c>
      <c r="J7" t="inlineStr">
        <is>
          <t>L: 2, I: 2 = Score 4</t>
        </is>
      </c>
    </row>
    <row r="8">
      <c r="A8" t="inlineStr">
        <is>
          <t>Reputational and Brand</t>
        </is>
      </c>
      <c r="I8" t="inlineStr">
        <is>
          <t>Policy Update</t>
        </is>
      </c>
      <c r="J8" t="inlineStr">
        <is>
          <t>L: 2, I: 3 = Score 6</t>
        </is>
      </c>
    </row>
    <row r="9">
      <c r="A9" t="inlineStr">
        <is>
          <t>Strategic and Market</t>
        </is>
      </c>
      <c r="I9" t="inlineStr">
        <is>
          <t>Other</t>
        </is>
      </c>
      <c r="J9" t="inlineStr">
        <is>
          <t>L: 2, I: 4 = Score 8</t>
        </is>
      </c>
    </row>
    <row r="10">
      <c r="A10" t="inlineStr">
        <is>
          <t>Physical and Environmental</t>
        </is>
      </c>
      <c r="J10" t="inlineStr">
        <is>
          <t>L: 2, I: 5 = Score 10</t>
        </is>
      </c>
    </row>
    <row r="11">
      <c r="J11" t="inlineStr">
        <is>
          <t>L: 3, I: 1 = Score 3</t>
        </is>
      </c>
    </row>
    <row r="12">
      <c r="J12" t="inlineStr">
        <is>
          <t>L: 3, I: 2 = Score 6</t>
        </is>
      </c>
    </row>
    <row r="13">
      <c r="J13" t="inlineStr">
        <is>
          <t>L: 3, I: 3 = Score 9</t>
        </is>
      </c>
    </row>
    <row r="14">
      <c r="J14" t="inlineStr">
        <is>
          <t>L: 3, I: 4 = Score 12</t>
        </is>
      </c>
    </row>
    <row r="15">
      <c r="J15" t="inlineStr">
        <is>
          <t>L: 3, I: 5 = Score 15</t>
        </is>
      </c>
    </row>
    <row r="16">
      <c r="J16" t="inlineStr">
        <is>
          <t>L: 4, I: 1 = Score 4</t>
        </is>
      </c>
    </row>
    <row r="17">
      <c r="J17" t="inlineStr">
        <is>
          <t>L: 4, I: 2 = Score 8</t>
        </is>
      </c>
    </row>
    <row r="18">
      <c r="J18" t="inlineStr">
        <is>
          <t>L: 4, I: 3 = Score 12</t>
        </is>
      </c>
    </row>
    <row r="19">
      <c r="J19" t="inlineStr">
        <is>
          <t>L: 4, I: 4 = Score 16</t>
        </is>
      </c>
    </row>
    <row r="20">
      <c r="J20" t="inlineStr">
        <is>
          <t>L: 4, I: 5 = Score 20</t>
        </is>
      </c>
    </row>
    <row r="21">
      <c r="J21" t="inlineStr">
        <is>
          <t>L: 5, I: 1 = Score 5</t>
        </is>
      </c>
    </row>
    <row r="22">
      <c r="J22" t="inlineStr">
        <is>
          <t>L: 5, I: 2 = Score 10</t>
        </is>
      </c>
    </row>
    <row r="23">
      <c r="J23" t="inlineStr">
        <is>
          <t>L: 5, I: 3 = Score 15</t>
        </is>
      </c>
    </row>
    <row r="24">
      <c r="J24" t="inlineStr">
        <is>
          <t>L: 5, I: 4 = Score 20</t>
        </is>
      </c>
    </row>
    <row r="25">
      <c r="J25" t="inlineStr">
        <is>
          <t>L: 5, I: 5 = Score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60" customWidth="1" min="4" max="4"/>
    <col width="30" customWidth="1" min="5" max="5"/>
    <col width="40" customWidth="1" min="6" max="6"/>
    <col width="12" customWidth="1" min="7" max="7"/>
    <col width="12" customWidth="1" min="8" max="8"/>
    <col width="12" customWidth="1" min="9" max="9"/>
    <col width="15" customWidth="1" min="10" max="10"/>
    <col width="5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20" customWidth="1" min="18" max="18"/>
    <col width="50" customWidth="1" min="19" max="19"/>
    <col width="12" customWidth="1" min="20" max="20"/>
    <col width="12" customWidth="1" min="21" max="21"/>
    <col width="40" customWidth="1" min="22" max="22"/>
    <col width="12" customWidth="1" min="23" max="23"/>
    <col width="12" customWidth="1" min="24" max="24"/>
    <col width="15" customWidth="1" min="25" max="25"/>
    <col width="40" customWidth="1" min="26" max="26"/>
  </cols>
  <sheetData>
    <row r="1" ht="28" customHeight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Name</t>
        </is>
      </c>
      <c r="D1" s="1" t="inlineStr">
        <is>
          <t>Risk Description</t>
        </is>
      </c>
      <c r="E1" s="1" t="inlineStr">
        <is>
          <t>Threat Source</t>
        </is>
      </c>
      <c r="F1" s="1" t="inlineStr">
        <is>
          <t>Vulnerabilities</t>
        </is>
      </c>
      <c r="G1" s="1" t="inlineStr">
        <is>
          <t>Likelihood (Inherent)</t>
        </is>
      </c>
      <c r="H1" s="1" t="inlineStr">
        <is>
          <t>Impact (Inherent)</t>
        </is>
      </c>
      <c r="I1" s="1" t="inlineStr">
        <is>
          <t>Inherent Risk Score</t>
        </is>
      </c>
      <c r="J1" s="1" t="inlineStr">
        <is>
          <t>Inherent Risk Rating</t>
        </is>
      </c>
      <c r="K1" s="1" t="inlineStr">
        <is>
          <t>Existing Controls</t>
        </is>
      </c>
      <c r="L1" s="1" t="inlineStr">
        <is>
          <t>Control Effectiveness</t>
        </is>
      </c>
      <c r="M1" s="1" t="inlineStr">
        <is>
          <t>Likelihood (Residual)</t>
        </is>
      </c>
      <c r="N1" s="1" t="inlineStr">
        <is>
          <t>Impact (Residual)</t>
        </is>
      </c>
      <c r="O1" s="1" t="inlineStr">
        <is>
          <t>Residual Risk Score</t>
        </is>
      </c>
      <c r="P1" s="1" t="inlineStr">
        <is>
          <t>Residual Risk Rating</t>
        </is>
      </c>
      <c r="Q1" s="1" t="inlineStr">
        <is>
          <t>Risk Response Strategy</t>
        </is>
      </c>
      <c r="R1" s="1" t="inlineStr">
        <is>
          <t>Risk Owner</t>
        </is>
      </c>
      <c r="S1" s="1" t="inlineStr">
        <is>
          <t>Additional Mitigation Needed</t>
        </is>
      </c>
      <c r="T1" s="1" t="inlineStr">
        <is>
          <t>Target Residual Risk</t>
        </is>
      </c>
      <c r="U1" s="1" t="inlineStr">
        <is>
          <t>Mitigation Priority</t>
        </is>
      </c>
      <c r="V1" s="1" t="inlineStr">
        <is>
          <t>Risk Indicators (KRIs)</t>
        </is>
      </c>
      <c r="W1" s="1" t="inlineStr">
        <is>
          <t>Last Review Date</t>
        </is>
      </c>
      <c r="X1" s="1" t="inlineStr">
        <is>
          <t>Next Review Date</t>
        </is>
      </c>
      <c r="Y1" s="1" t="inlineStr">
        <is>
          <t>Status</t>
        </is>
      </c>
      <c r="Z1" s="1" t="inlineStr">
        <is>
          <t>Notes</t>
        </is>
      </c>
    </row>
    <row r="2">
      <c r="A2" s="2" t="n"/>
      <c r="B2" s="2" t="n"/>
      <c r="C2" s="2" t="n"/>
      <c r="D2" s="3" t="n"/>
      <c r="E2" s="3" t="n"/>
      <c r="F2" s="3" t="n"/>
      <c r="G2" s="2" t="n"/>
      <c r="H2" s="2" t="n"/>
      <c r="I2" s="2">
        <f>VALUE(LEFT($G2,1))*VALUE(LEFT($H2,1))</f>
        <v/>
      </c>
      <c r="J2" s="2">
        <f>IF($I2&gt;=20,"Critical",IF($I2&gt;=15,"High",IF($I2&gt;=10,"Medium",IF($I2&gt;=5,"Low",IF($I2&gt;0,"Very Low","")))))</f>
        <v/>
      </c>
      <c r="K2" s="3" t="n"/>
      <c r="L2" s="2" t="n"/>
      <c r="M2" s="2" t="n"/>
      <c r="N2" s="2" t="n"/>
      <c r="O2" s="2">
        <f>VALUE(LEFT($M2,1))*VALUE(LEFT($N2,1))</f>
        <v/>
      </c>
      <c r="P2" s="2">
        <f>IF($O2&gt;=20,"Critical",IF($O2&gt;=15,"High",IF($O2&gt;=10,"Medium",IF($O2&gt;=5,"Low",IF($O2&gt;0,"Very Low","")))))</f>
        <v/>
      </c>
      <c r="Q2" s="2" t="n"/>
      <c r="R2" s="2" t="n"/>
      <c r="S2" s="3" t="n"/>
      <c r="T2" s="2" t="n"/>
      <c r="U2" s="2" t="n"/>
      <c r="V2" s="3" t="n"/>
      <c r="W2" s="4" t="n"/>
      <c r="X2" s="4" t="n"/>
      <c r="Y2" s="2" t="n"/>
      <c r="Z2" s="3" t="n"/>
    </row>
    <row r="3">
      <c r="D3" s="5" t="n"/>
      <c r="E3" s="5" t="n"/>
      <c r="F3" s="5" t="n"/>
      <c r="I3">
        <f>VALUE(LEFT($G3,1))*VALUE(LEFT($H3,1))</f>
        <v/>
      </c>
      <c r="J3">
        <f>IF($I3&gt;=20,"Critical",IF($I3&gt;=15,"High",IF($I3&gt;=10,"Medium",IF($I3&gt;=5,"Low",IF($I3&gt;0,"Very Low","")))))</f>
        <v/>
      </c>
      <c r="K3" s="5" t="n"/>
      <c r="O3">
        <f>VALUE(LEFT($M3,1))*VALUE(LEFT($N3,1))</f>
        <v/>
      </c>
      <c r="P3">
        <f>IF($O3&gt;=20,"Critical",IF($O3&gt;=15,"High",IF($O3&gt;=10,"Medium",IF($O3&gt;=5,"Low",IF($O3&gt;0,"Very Low","")))))</f>
        <v/>
      </c>
      <c r="S3" s="5" t="n"/>
      <c r="V3" s="5" t="n"/>
      <c r="W3" s="6" t="n"/>
      <c r="X3" s="6" t="n"/>
      <c r="Z3" s="5" t="n"/>
    </row>
    <row r="4">
      <c r="D4" s="5" t="n"/>
      <c r="E4" s="5" t="n"/>
      <c r="F4" s="5" t="n"/>
      <c r="I4">
        <f>VALUE(LEFT($G4,1))*VALUE(LEFT($H4,1))</f>
        <v/>
      </c>
      <c r="J4">
        <f>IF($I4&gt;=20,"Critical",IF($I4&gt;=15,"High",IF($I4&gt;=10,"Medium",IF($I4&gt;=5,"Low",IF($I4&gt;0,"Very Low","")))))</f>
        <v/>
      </c>
      <c r="K4" s="5" t="n"/>
      <c r="O4">
        <f>VALUE(LEFT($M4,1))*VALUE(LEFT($N4,1))</f>
        <v/>
      </c>
      <c r="P4">
        <f>IF($O4&gt;=20,"Critical",IF($O4&gt;=15,"High",IF($O4&gt;=10,"Medium",IF($O4&gt;=5,"Low",IF($O4&gt;0,"Very Low","")))))</f>
        <v/>
      </c>
      <c r="S4" s="5" t="n"/>
      <c r="V4" s="5" t="n"/>
      <c r="W4" s="6" t="n"/>
      <c r="X4" s="6" t="n"/>
      <c r="Z4" s="5" t="n"/>
    </row>
    <row r="5">
      <c r="D5" s="5" t="n"/>
      <c r="E5" s="5" t="n"/>
      <c r="F5" s="5" t="n"/>
      <c r="I5">
        <f>VALUE(LEFT($G5,1))*VALUE(LEFT($H5,1))</f>
        <v/>
      </c>
      <c r="J5">
        <f>IF($I5&gt;=20,"Critical",IF($I5&gt;=15,"High",IF($I5&gt;=10,"Medium",IF($I5&gt;=5,"Low",IF($I5&gt;0,"Very Low","")))))</f>
        <v/>
      </c>
      <c r="K5" s="5" t="n"/>
      <c r="O5">
        <f>VALUE(LEFT($M5,1))*VALUE(LEFT($N5,1))</f>
        <v/>
      </c>
      <c r="P5">
        <f>IF($O5&gt;=20,"Critical",IF($O5&gt;=15,"High",IF($O5&gt;=10,"Medium",IF($O5&gt;=5,"Low",IF($O5&gt;0,"Very Low","")))))</f>
        <v/>
      </c>
      <c r="S5" s="5" t="n"/>
      <c r="V5" s="5" t="n"/>
      <c r="W5" s="6" t="n"/>
      <c r="X5" s="6" t="n"/>
      <c r="Z5" s="5" t="n"/>
    </row>
    <row r="6">
      <c r="D6" s="5" t="n"/>
      <c r="E6" s="5" t="n"/>
      <c r="F6" s="5" t="n"/>
      <c r="I6">
        <f>VALUE(LEFT($G6,1))*VALUE(LEFT($H6,1))</f>
        <v/>
      </c>
      <c r="J6">
        <f>IF($I6&gt;=20,"Critical",IF($I6&gt;=15,"High",IF($I6&gt;=10,"Medium",IF($I6&gt;=5,"Low",IF($I6&gt;0,"Very Low","")))))</f>
        <v/>
      </c>
      <c r="K6" s="5" t="n"/>
      <c r="O6">
        <f>VALUE(LEFT($M6,1))*VALUE(LEFT($N6,1))</f>
        <v/>
      </c>
      <c r="P6">
        <f>IF($O6&gt;=20,"Critical",IF($O6&gt;=15,"High",IF($O6&gt;=10,"Medium",IF($O6&gt;=5,"Low",IF($O6&gt;0,"Very Low","")))))</f>
        <v/>
      </c>
      <c r="S6" s="5" t="n"/>
      <c r="V6" s="5" t="n"/>
      <c r="W6" s="6" t="n"/>
      <c r="X6" s="6" t="n"/>
      <c r="Z6" s="5" t="n"/>
    </row>
    <row r="7">
      <c r="D7" s="5" t="n"/>
      <c r="E7" s="5" t="n"/>
      <c r="F7" s="5" t="n"/>
      <c r="I7">
        <f>VALUE(LEFT($G7,1))*VALUE(LEFT($H7,1))</f>
        <v/>
      </c>
      <c r="J7">
        <f>IF($I7&gt;=20,"Critical",IF($I7&gt;=15,"High",IF($I7&gt;=10,"Medium",IF($I7&gt;=5,"Low",IF($I7&gt;0,"Very Low","")))))</f>
        <v/>
      </c>
      <c r="K7" s="5" t="n"/>
      <c r="O7">
        <f>VALUE(LEFT($M7,1))*VALUE(LEFT($N7,1))</f>
        <v/>
      </c>
      <c r="P7">
        <f>IF($O7&gt;=20,"Critical",IF($O7&gt;=15,"High",IF($O7&gt;=10,"Medium",IF($O7&gt;=5,"Low",IF($O7&gt;0,"Very Low","")))))</f>
        <v/>
      </c>
      <c r="S7" s="5" t="n"/>
      <c r="V7" s="5" t="n"/>
      <c r="W7" s="6" t="n"/>
      <c r="X7" s="6" t="n"/>
      <c r="Z7" s="5" t="n"/>
    </row>
    <row r="8">
      <c r="D8" s="5" t="n"/>
      <c r="E8" s="5" t="n"/>
      <c r="F8" s="5" t="n"/>
      <c r="I8">
        <f>VALUE(LEFT($G8,1))*VALUE(LEFT($H8,1))</f>
        <v/>
      </c>
      <c r="J8">
        <f>IF($I8&gt;=20,"Critical",IF($I8&gt;=15,"High",IF($I8&gt;=10,"Medium",IF($I8&gt;=5,"Low",IF($I8&gt;0,"Very Low","")))))</f>
        <v/>
      </c>
      <c r="K8" s="5" t="n"/>
      <c r="O8">
        <f>VALUE(LEFT($M8,1))*VALUE(LEFT($N8,1))</f>
        <v/>
      </c>
      <c r="P8">
        <f>IF($O8&gt;=20,"Critical",IF($O8&gt;=15,"High",IF($O8&gt;=10,"Medium",IF($O8&gt;=5,"Low",IF($O8&gt;0,"Very Low","")))))</f>
        <v/>
      </c>
      <c r="S8" s="5" t="n"/>
      <c r="V8" s="5" t="n"/>
      <c r="W8" s="6" t="n"/>
      <c r="X8" s="6" t="n"/>
      <c r="Z8" s="5" t="n"/>
    </row>
    <row r="9">
      <c r="D9" s="5" t="n"/>
      <c r="E9" s="5" t="n"/>
      <c r="F9" s="5" t="n"/>
      <c r="I9">
        <f>VALUE(LEFT($G9,1))*VALUE(LEFT($H9,1))</f>
        <v/>
      </c>
      <c r="J9">
        <f>IF($I9&gt;=20,"Critical",IF($I9&gt;=15,"High",IF($I9&gt;=10,"Medium",IF($I9&gt;=5,"Low",IF($I9&gt;0,"Very Low","")))))</f>
        <v/>
      </c>
      <c r="K9" s="5" t="n"/>
      <c r="O9">
        <f>VALUE(LEFT($M9,1))*VALUE(LEFT($N9,1))</f>
        <v/>
      </c>
      <c r="P9">
        <f>IF($O9&gt;=20,"Critical",IF($O9&gt;=15,"High",IF($O9&gt;=10,"Medium",IF($O9&gt;=5,"Low",IF($O9&gt;0,"Very Low","")))))</f>
        <v/>
      </c>
      <c r="S9" s="5" t="n"/>
      <c r="V9" s="5" t="n"/>
      <c r="W9" s="6" t="n"/>
      <c r="X9" s="6" t="n"/>
      <c r="Z9" s="5" t="n"/>
    </row>
    <row r="10">
      <c r="D10" s="5" t="n"/>
      <c r="E10" s="5" t="n"/>
      <c r="F10" s="5" t="n"/>
      <c r="I10">
        <f>VALUE(LEFT($G10,1))*VALUE(LEFT($H10,1))</f>
        <v/>
      </c>
      <c r="J10">
        <f>IF($I10&gt;=20,"Critical",IF($I10&gt;=15,"High",IF($I10&gt;=10,"Medium",IF($I10&gt;=5,"Low",IF($I10&gt;0,"Very Low","")))))</f>
        <v/>
      </c>
      <c r="K10" s="5" t="n"/>
      <c r="O10">
        <f>VALUE(LEFT($M10,1))*VALUE(LEFT($N10,1))</f>
        <v/>
      </c>
      <c r="P10">
        <f>IF($O10&gt;=20,"Critical",IF($O10&gt;=15,"High",IF($O10&gt;=10,"Medium",IF($O10&gt;=5,"Low",IF($O10&gt;0,"Very Low","")))))</f>
        <v/>
      </c>
      <c r="S10" s="5" t="n"/>
      <c r="V10" s="5" t="n"/>
      <c r="W10" s="6" t="n"/>
      <c r="X10" s="6" t="n"/>
      <c r="Z10" s="5" t="n"/>
    </row>
    <row r="11">
      <c r="D11" s="5" t="n"/>
      <c r="E11" s="5" t="n"/>
      <c r="F11" s="5" t="n"/>
      <c r="I11">
        <f>VALUE(LEFT($G11,1))*VALUE(LEFT($H11,1))</f>
        <v/>
      </c>
      <c r="J11">
        <f>IF($I11&gt;=20,"Critical",IF($I11&gt;=15,"High",IF($I11&gt;=10,"Medium",IF($I11&gt;=5,"Low",IF($I11&gt;0,"Very Low","")))))</f>
        <v/>
      </c>
      <c r="K11" s="5" t="n"/>
      <c r="O11">
        <f>VALUE(LEFT($M11,1))*VALUE(LEFT($N11,1))</f>
        <v/>
      </c>
      <c r="P11">
        <f>IF($O11&gt;=20,"Critical",IF($O11&gt;=15,"High",IF($O11&gt;=10,"Medium",IF($O11&gt;=5,"Low",IF($O11&gt;0,"Very Low","")))))</f>
        <v/>
      </c>
      <c r="S11" s="5" t="n"/>
      <c r="V11" s="5" t="n"/>
      <c r="W11" s="6" t="n"/>
      <c r="X11" s="6" t="n"/>
      <c r="Z11" s="5" t="n"/>
    </row>
    <row r="12">
      <c r="D12" s="5" t="n"/>
      <c r="E12" s="5" t="n"/>
      <c r="F12" s="5" t="n"/>
      <c r="I12">
        <f>VALUE(LEFT($G12,1))*VALUE(LEFT($H12,1))</f>
        <v/>
      </c>
      <c r="J12">
        <f>IF($I12&gt;=20,"Critical",IF($I12&gt;=15,"High",IF($I12&gt;=10,"Medium",IF($I12&gt;=5,"Low",IF($I12&gt;0,"Very Low","")))))</f>
        <v/>
      </c>
      <c r="K12" s="5" t="n"/>
      <c r="O12">
        <f>VALUE(LEFT($M12,1))*VALUE(LEFT($N12,1))</f>
        <v/>
      </c>
      <c r="P12">
        <f>IF($O12&gt;=20,"Critical",IF($O12&gt;=15,"High",IF($O12&gt;=10,"Medium",IF($O12&gt;=5,"Low",IF($O12&gt;0,"Very Low","")))))</f>
        <v/>
      </c>
      <c r="S12" s="5" t="n"/>
      <c r="V12" s="5" t="n"/>
      <c r="W12" s="6" t="n"/>
      <c r="X12" s="6" t="n"/>
      <c r="Z12" s="5" t="n"/>
    </row>
    <row r="13">
      <c r="D13" s="5" t="n"/>
      <c r="E13" s="5" t="n"/>
      <c r="F13" s="5" t="n"/>
      <c r="I13">
        <f>VALUE(LEFT($G13,1))*VALUE(LEFT($H13,1))</f>
        <v/>
      </c>
      <c r="J13">
        <f>IF($I13&gt;=20,"Critical",IF($I13&gt;=15,"High",IF($I13&gt;=10,"Medium",IF($I13&gt;=5,"Low",IF($I13&gt;0,"Very Low","")))))</f>
        <v/>
      </c>
      <c r="K13" s="5" t="n"/>
      <c r="O13">
        <f>VALUE(LEFT($M13,1))*VALUE(LEFT($N13,1))</f>
        <v/>
      </c>
      <c r="P13">
        <f>IF($O13&gt;=20,"Critical",IF($O13&gt;=15,"High",IF($O13&gt;=10,"Medium",IF($O13&gt;=5,"Low",IF($O13&gt;0,"Very Low","")))))</f>
        <v/>
      </c>
      <c r="S13" s="5" t="n"/>
      <c r="V13" s="5" t="n"/>
      <c r="W13" s="6" t="n"/>
      <c r="X13" s="6" t="n"/>
      <c r="Z13" s="5" t="n"/>
    </row>
    <row r="14">
      <c r="D14" s="5" t="n"/>
      <c r="E14" s="5" t="n"/>
      <c r="F14" s="5" t="n"/>
      <c r="I14">
        <f>VALUE(LEFT($G14,1))*VALUE(LEFT($H14,1))</f>
        <v/>
      </c>
      <c r="J14">
        <f>IF($I14&gt;=20,"Critical",IF($I14&gt;=15,"High",IF($I14&gt;=10,"Medium",IF($I14&gt;=5,"Low",IF($I14&gt;0,"Very Low","")))))</f>
        <v/>
      </c>
      <c r="K14" s="5" t="n"/>
      <c r="O14">
        <f>VALUE(LEFT($M14,1))*VALUE(LEFT($N14,1))</f>
        <v/>
      </c>
      <c r="P14">
        <f>IF($O14&gt;=20,"Critical",IF($O14&gt;=15,"High",IF($O14&gt;=10,"Medium",IF($O14&gt;=5,"Low",IF($O14&gt;0,"Very Low","")))))</f>
        <v/>
      </c>
      <c r="S14" s="5" t="n"/>
      <c r="V14" s="5" t="n"/>
      <c r="W14" s="6" t="n"/>
      <c r="X14" s="6" t="n"/>
      <c r="Z14" s="5" t="n"/>
    </row>
    <row r="15">
      <c r="D15" s="5" t="n"/>
      <c r="E15" s="5" t="n"/>
      <c r="F15" s="5" t="n"/>
      <c r="I15">
        <f>VALUE(LEFT($G15,1))*VALUE(LEFT($H15,1))</f>
        <v/>
      </c>
      <c r="J15">
        <f>IF($I15&gt;=20,"Critical",IF($I15&gt;=15,"High",IF($I15&gt;=10,"Medium",IF($I15&gt;=5,"Low",IF($I15&gt;0,"Very Low","")))))</f>
        <v/>
      </c>
      <c r="K15" s="5" t="n"/>
      <c r="O15">
        <f>VALUE(LEFT($M15,1))*VALUE(LEFT($N15,1))</f>
        <v/>
      </c>
      <c r="P15">
        <f>IF($O15&gt;=20,"Critical",IF($O15&gt;=15,"High",IF($O15&gt;=10,"Medium",IF($O15&gt;=5,"Low",IF($O15&gt;0,"Very Low","")))))</f>
        <v/>
      </c>
      <c r="S15" s="5" t="n"/>
      <c r="V15" s="5" t="n"/>
      <c r="W15" s="6" t="n"/>
      <c r="X15" s="6" t="n"/>
      <c r="Z15" s="5" t="n"/>
    </row>
    <row r="16">
      <c r="D16" s="5" t="n"/>
      <c r="E16" s="5" t="n"/>
      <c r="F16" s="5" t="n"/>
      <c r="I16">
        <f>VALUE(LEFT($G16,1))*VALUE(LEFT($H16,1))</f>
        <v/>
      </c>
      <c r="J16">
        <f>IF($I16&gt;=20,"Critical",IF($I16&gt;=15,"High",IF($I16&gt;=10,"Medium",IF($I16&gt;=5,"Low",IF($I16&gt;0,"Very Low","")))))</f>
        <v/>
      </c>
      <c r="K16" s="5" t="n"/>
      <c r="O16">
        <f>VALUE(LEFT($M16,1))*VALUE(LEFT($N16,1))</f>
        <v/>
      </c>
      <c r="P16">
        <f>IF($O16&gt;=20,"Critical",IF($O16&gt;=15,"High",IF($O16&gt;=10,"Medium",IF($O16&gt;=5,"Low",IF($O16&gt;0,"Very Low","")))))</f>
        <v/>
      </c>
      <c r="S16" s="5" t="n"/>
      <c r="V16" s="5" t="n"/>
      <c r="W16" s="6" t="n"/>
      <c r="X16" s="6" t="n"/>
      <c r="Z16" s="5" t="n"/>
    </row>
    <row r="17">
      <c r="D17" s="5" t="n"/>
      <c r="E17" s="5" t="n"/>
      <c r="F17" s="5" t="n"/>
      <c r="I17">
        <f>VALUE(LEFT($G17,1))*VALUE(LEFT($H17,1))</f>
        <v/>
      </c>
      <c r="J17">
        <f>IF($I17&gt;=20,"Critical",IF($I17&gt;=15,"High",IF($I17&gt;=10,"Medium",IF($I17&gt;=5,"Low",IF($I17&gt;0,"Very Low","")))))</f>
        <v/>
      </c>
      <c r="K17" s="5" t="n"/>
      <c r="O17">
        <f>VALUE(LEFT($M17,1))*VALUE(LEFT($N17,1))</f>
        <v/>
      </c>
      <c r="P17">
        <f>IF($O17&gt;=20,"Critical",IF($O17&gt;=15,"High",IF($O17&gt;=10,"Medium",IF($O17&gt;=5,"Low",IF($O17&gt;0,"Very Low","")))))</f>
        <v/>
      </c>
      <c r="S17" s="5" t="n"/>
      <c r="V17" s="5" t="n"/>
      <c r="W17" s="6" t="n"/>
      <c r="X17" s="6" t="n"/>
      <c r="Z17" s="5" t="n"/>
    </row>
    <row r="18">
      <c r="D18" s="5" t="n"/>
      <c r="E18" s="5" t="n"/>
      <c r="F18" s="5" t="n"/>
      <c r="I18">
        <f>VALUE(LEFT($G18,1))*VALUE(LEFT($H18,1))</f>
        <v/>
      </c>
      <c r="J18">
        <f>IF($I18&gt;=20,"Critical",IF($I18&gt;=15,"High",IF($I18&gt;=10,"Medium",IF($I18&gt;=5,"Low",IF($I18&gt;0,"Very Low","")))))</f>
        <v/>
      </c>
      <c r="K18" s="5" t="n"/>
      <c r="O18">
        <f>VALUE(LEFT($M18,1))*VALUE(LEFT($N18,1))</f>
        <v/>
      </c>
      <c r="P18">
        <f>IF($O18&gt;=20,"Critical",IF($O18&gt;=15,"High",IF($O18&gt;=10,"Medium",IF($O18&gt;=5,"Low",IF($O18&gt;0,"Very Low","")))))</f>
        <v/>
      </c>
      <c r="S18" s="5" t="n"/>
      <c r="V18" s="5" t="n"/>
      <c r="W18" s="6" t="n"/>
      <c r="X18" s="6" t="n"/>
      <c r="Z18" s="5" t="n"/>
    </row>
    <row r="19">
      <c r="D19" s="5" t="n"/>
      <c r="E19" s="5" t="n"/>
      <c r="F19" s="5" t="n"/>
      <c r="I19">
        <f>VALUE(LEFT($G19,1))*VALUE(LEFT($H19,1))</f>
        <v/>
      </c>
      <c r="J19">
        <f>IF($I19&gt;=20,"Critical",IF($I19&gt;=15,"High",IF($I19&gt;=10,"Medium",IF($I19&gt;=5,"Low",IF($I19&gt;0,"Very Low","")))))</f>
        <v/>
      </c>
      <c r="K19" s="5" t="n"/>
      <c r="O19">
        <f>VALUE(LEFT($M19,1))*VALUE(LEFT($N19,1))</f>
        <v/>
      </c>
      <c r="P19">
        <f>IF($O19&gt;=20,"Critical",IF($O19&gt;=15,"High",IF($O19&gt;=10,"Medium",IF($O19&gt;=5,"Low",IF($O19&gt;0,"Very Low","")))))</f>
        <v/>
      </c>
      <c r="S19" s="5" t="n"/>
      <c r="V19" s="5" t="n"/>
      <c r="W19" s="6" t="n"/>
      <c r="X19" s="6" t="n"/>
      <c r="Z19" s="5" t="n"/>
    </row>
    <row r="20">
      <c r="D20" s="5" t="n"/>
      <c r="E20" s="5" t="n"/>
      <c r="F20" s="5" t="n"/>
      <c r="I20">
        <f>VALUE(LEFT($G20,1))*VALUE(LEFT($H20,1))</f>
        <v/>
      </c>
      <c r="J20">
        <f>IF($I20&gt;=20,"Critical",IF($I20&gt;=15,"High",IF($I20&gt;=10,"Medium",IF($I20&gt;=5,"Low",IF($I20&gt;0,"Very Low","")))))</f>
        <v/>
      </c>
      <c r="K20" s="5" t="n"/>
      <c r="O20">
        <f>VALUE(LEFT($M20,1))*VALUE(LEFT($N20,1))</f>
        <v/>
      </c>
      <c r="P20">
        <f>IF($O20&gt;=20,"Critical",IF($O20&gt;=15,"High",IF($O20&gt;=10,"Medium",IF($O20&gt;=5,"Low",IF($O20&gt;0,"Very Low","")))))</f>
        <v/>
      </c>
      <c r="S20" s="5" t="n"/>
      <c r="V20" s="5" t="n"/>
      <c r="W20" s="6" t="n"/>
      <c r="X20" s="6" t="n"/>
      <c r="Z20" s="5" t="n"/>
    </row>
    <row r="21">
      <c r="D21" s="5" t="n"/>
      <c r="E21" s="5" t="n"/>
      <c r="F21" s="5" t="n"/>
      <c r="I21">
        <f>VALUE(LEFT($G21,1))*VALUE(LEFT($H21,1))</f>
        <v/>
      </c>
      <c r="J21">
        <f>IF($I21&gt;=20,"Critical",IF($I21&gt;=15,"High",IF($I21&gt;=10,"Medium",IF($I21&gt;=5,"Low",IF($I21&gt;0,"Very Low","")))))</f>
        <v/>
      </c>
      <c r="K21" s="5" t="n"/>
      <c r="O21">
        <f>VALUE(LEFT($M21,1))*VALUE(LEFT($N21,1))</f>
        <v/>
      </c>
      <c r="P21">
        <f>IF($O21&gt;=20,"Critical",IF($O21&gt;=15,"High",IF($O21&gt;=10,"Medium",IF($O21&gt;=5,"Low",IF($O21&gt;0,"Very Low","")))))</f>
        <v/>
      </c>
      <c r="S21" s="5" t="n"/>
      <c r="V21" s="5" t="n"/>
      <c r="W21" s="6" t="n"/>
      <c r="X21" s="6" t="n"/>
      <c r="Z21" s="5" t="n"/>
    </row>
    <row r="22">
      <c r="D22" s="5" t="n"/>
      <c r="E22" s="5" t="n"/>
      <c r="F22" s="5" t="n"/>
      <c r="I22">
        <f>VALUE(LEFT($G22,1))*VALUE(LEFT($H22,1))</f>
        <v/>
      </c>
      <c r="J22">
        <f>IF($I22&gt;=20,"Critical",IF($I22&gt;=15,"High",IF($I22&gt;=10,"Medium",IF($I22&gt;=5,"Low",IF($I22&gt;0,"Very Low","")))))</f>
        <v/>
      </c>
      <c r="K22" s="5" t="n"/>
      <c r="O22">
        <f>VALUE(LEFT($M22,1))*VALUE(LEFT($N22,1))</f>
        <v/>
      </c>
      <c r="P22">
        <f>IF($O22&gt;=20,"Critical",IF($O22&gt;=15,"High",IF($O22&gt;=10,"Medium",IF($O22&gt;=5,"Low",IF($O22&gt;0,"Very Low","")))))</f>
        <v/>
      </c>
      <c r="S22" s="5" t="n"/>
      <c r="V22" s="5" t="n"/>
      <c r="W22" s="6" t="n"/>
      <c r="X22" s="6" t="n"/>
      <c r="Z22" s="5" t="n"/>
    </row>
    <row r="23">
      <c r="D23" s="5" t="n"/>
      <c r="E23" s="5" t="n"/>
      <c r="F23" s="5" t="n"/>
      <c r="I23">
        <f>VALUE(LEFT($G23,1))*VALUE(LEFT($H23,1))</f>
        <v/>
      </c>
      <c r="J23">
        <f>IF($I23&gt;=20,"Critical",IF($I23&gt;=15,"High",IF($I23&gt;=10,"Medium",IF($I23&gt;=5,"Low",IF($I23&gt;0,"Very Low","")))))</f>
        <v/>
      </c>
      <c r="K23" s="5" t="n"/>
      <c r="O23">
        <f>VALUE(LEFT($M23,1))*VALUE(LEFT($N23,1))</f>
        <v/>
      </c>
      <c r="P23">
        <f>IF($O23&gt;=20,"Critical",IF($O23&gt;=15,"High",IF($O23&gt;=10,"Medium",IF($O23&gt;=5,"Low",IF($O23&gt;0,"Very Low","")))))</f>
        <v/>
      </c>
      <c r="S23" s="5" t="n"/>
      <c r="V23" s="5" t="n"/>
      <c r="W23" s="6" t="n"/>
      <c r="X23" s="6" t="n"/>
      <c r="Z23" s="5" t="n"/>
    </row>
    <row r="24">
      <c r="D24" s="5" t="n"/>
      <c r="E24" s="5" t="n"/>
      <c r="F24" s="5" t="n"/>
      <c r="I24">
        <f>VALUE(LEFT($G24,1))*VALUE(LEFT($H24,1))</f>
        <v/>
      </c>
      <c r="J24">
        <f>IF($I24&gt;=20,"Critical",IF($I24&gt;=15,"High",IF($I24&gt;=10,"Medium",IF($I24&gt;=5,"Low",IF($I24&gt;0,"Very Low","")))))</f>
        <v/>
      </c>
      <c r="K24" s="5" t="n"/>
      <c r="O24">
        <f>VALUE(LEFT($M24,1))*VALUE(LEFT($N24,1))</f>
        <v/>
      </c>
      <c r="P24">
        <f>IF($O24&gt;=20,"Critical",IF($O24&gt;=15,"High",IF($O24&gt;=10,"Medium",IF($O24&gt;=5,"Low",IF($O24&gt;0,"Very Low","")))))</f>
        <v/>
      </c>
      <c r="S24" s="5" t="n"/>
      <c r="V24" s="5" t="n"/>
      <c r="W24" s="6" t="n"/>
      <c r="X24" s="6" t="n"/>
      <c r="Z24" s="5" t="n"/>
    </row>
    <row r="25">
      <c r="D25" s="5" t="n"/>
      <c r="E25" s="5" t="n"/>
      <c r="F25" s="5" t="n"/>
      <c r="I25">
        <f>VALUE(LEFT($G25,1))*VALUE(LEFT($H25,1))</f>
        <v/>
      </c>
      <c r="J25">
        <f>IF($I25&gt;=20,"Critical",IF($I25&gt;=15,"High",IF($I25&gt;=10,"Medium",IF($I25&gt;=5,"Low",IF($I25&gt;0,"Very Low","")))))</f>
        <v/>
      </c>
      <c r="K25" s="5" t="n"/>
      <c r="O25">
        <f>VALUE(LEFT($M25,1))*VALUE(LEFT($N25,1))</f>
        <v/>
      </c>
      <c r="P25">
        <f>IF($O25&gt;=20,"Critical",IF($O25&gt;=15,"High",IF($O25&gt;=10,"Medium",IF($O25&gt;=5,"Low",IF($O25&gt;0,"Very Low","")))))</f>
        <v/>
      </c>
      <c r="S25" s="5" t="n"/>
      <c r="V25" s="5" t="n"/>
      <c r="W25" s="6" t="n"/>
      <c r="X25" s="6" t="n"/>
      <c r="Z25" s="5" t="n"/>
    </row>
    <row r="26">
      <c r="D26" s="5" t="n"/>
      <c r="E26" s="5" t="n"/>
      <c r="F26" s="5" t="n"/>
      <c r="I26">
        <f>VALUE(LEFT($G26,1))*VALUE(LEFT($H26,1))</f>
        <v/>
      </c>
      <c r="J26">
        <f>IF($I26&gt;=20,"Critical",IF($I26&gt;=15,"High",IF($I26&gt;=10,"Medium",IF($I26&gt;=5,"Low",IF($I26&gt;0,"Very Low","")))))</f>
        <v/>
      </c>
      <c r="K26" s="5" t="n"/>
      <c r="O26">
        <f>VALUE(LEFT($M26,1))*VALUE(LEFT($N26,1))</f>
        <v/>
      </c>
      <c r="P26">
        <f>IF($O26&gt;=20,"Critical",IF($O26&gt;=15,"High",IF($O26&gt;=10,"Medium",IF($O26&gt;=5,"Low",IF($O26&gt;0,"Very Low","")))))</f>
        <v/>
      </c>
      <c r="S26" s="5" t="n"/>
      <c r="V26" s="5" t="n"/>
      <c r="W26" s="6" t="n"/>
      <c r="X26" s="6" t="n"/>
      <c r="Z26" s="5" t="n"/>
    </row>
    <row r="27">
      <c r="D27" s="5" t="n"/>
      <c r="E27" s="5" t="n"/>
      <c r="F27" s="5" t="n"/>
      <c r="I27">
        <f>VALUE(LEFT($G27,1))*VALUE(LEFT($H27,1))</f>
        <v/>
      </c>
      <c r="J27">
        <f>IF($I27&gt;=20,"Critical",IF($I27&gt;=15,"High",IF($I27&gt;=10,"Medium",IF($I27&gt;=5,"Low",IF($I27&gt;0,"Very Low","")))))</f>
        <v/>
      </c>
      <c r="K27" s="5" t="n"/>
      <c r="O27">
        <f>VALUE(LEFT($M27,1))*VALUE(LEFT($N27,1))</f>
        <v/>
      </c>
      <c r="P27">
        <f>IF($O27&gt;=20,"Critical",IF($O27&gt;=15,"High",IF($O27&gt;=10,"Medium",IF($O27&gt;=5,"Low",IF($O27&gt;0,"Very Low","")))))</f>
        <v/>
      </c>
      <c r="S27" s="5" t="n"/>
      <c r="V27" s="5" t="n"/>
      <c r="W27" s="6" t="n"/>
      <c r="X27" s="6" t="n"/>
      <c r="Z27" s="5" t="n"/>
    </row>
    <row r="28">
      <c r="D28" s="5" t="n"/>
      <c r="E28" s="5" t="n"/>
      <c r="F28" s="5" t="n"/>
      <c r="I28">
        <f>VALUE(LEFT($G28,1))*VALUE(LEFT($H28,1))</f>
        <v/>
      </c>
      <c r="J28">
        <f>IF($I28&gt;=20,"Critical",IF($I28&gt;=15,"High",IF($I28&gt;=10,"Medium",IF($I28&gt;=5,"Low",IF($I28&gt;0,"Very Low","")))))</f>
        <v/>
      </c>
      <c r="K28" s="5" t="n"/>
      <c r="O28">
        <f>VALUE(LEFT($M28,1))*VALUE(LEFT($N28,1))</f>
        <v/>
      </c>
      <c r="P28">
        <f>IF($O28&gt;=20,"Critical",IF($O28&gt;=15,"High",IF($O28&gt;=10,"Medium",IF($O28&gt;=5,"Low",IF($O28&gt;0,"Very Low","")))))</f>
        <v/>
      </c>
      <c r="S28" s="5" t="n"/>
      <c r="V28" s="5" t="n"/>
      <c r="W28" s="6" t="n"/>
      <c r="X28" s="6" t="n"/>
      <c r="Z28" s="5" t="n"/>
    </row>
    <row r="29">
      <c r="D29" s="5" t="n"/>
      <c r="E29" s="5" t="n"/>
      <c r="F29" s="5" t="n"/>
      <c r="I29">
        <f>VALUE(LEFT($G29,1))*VALUE(LEFT($H29,1))</f>
        <v/>
      </c>
      <c r="J29">
        <f>IF($I29&gt;=20,"Critical",IF($I29&gt;=15,"High",IF($I29&gt;=10,"Medium",IF($I29&gt;=5,"Low",IF($I29&gt;0,"Very Low","")))))</f>
        <v/>
      </c>
      <c r="K29" s="5" t="n"/>
      <c r="O29">
        <f>VALUE(LEFT($M29,1))*VALUE(LEFT($N29,1))</f>
        <v/>
      </c>
      <c r="P29">
        <f>IF($O29&gt;=20,"Critical",IF($O29&gt;=15,"High",IF($O29&gt;=10,"Medium",IF($O29&gt;=5,"Low",IF($O29&gt;0,"Very Low","")))))</f>
        <v/>
      </c>
      <c r="S29" s="5" t="n"/>
      <c r="V29" s="5" t="n"/>
      <c r="W29" s="6" t="n"/>
      <c r="X29" s="6" t="n"/>
      <c r="Z29" s="5" t="n"/>
    </row>
    <row r="30">
      <c r="D30" s="5" t="n"/>
      <c r="E30" s="5" t="n"/>
      <c r="F30" s="5" t="n"/>
      <c r="I30">
        <f>VALUE(LEFT($G30,1))*VALUE(LEFT($H30,1))</f>
        <v/>
      </c>
      <c r="J30">
        <f>IF($I30&gt;=20,"Critical",IF($I30&gt;=15,"High",IF($I30&gt;=10,"Medium",IF($I30&gt;=5,"Low",IF($I30&gt;0,"Very Low","")))))</f>
        <v/>
      </c>
      <c r="K30" s="5" t="n"/>
      <c r="O30">
        <f>VALUE(LEFT($M30,1))*VALUE(LEFT($N30,1))</f>
        <v/>
      </c>
      <c r="P30">
        <f>IF($O30&gt;=20,"Critical",IF($O30&gt;=15,"High",IF($O30&gt;=10,"Medium",IF($O30&gt;=5,"Low",IF($O30&gt;0,"Very Low","")))))</f>
        <v/>
      </c>
      <c r="S30" s="5" t="n"/>
      <c r="V30" s="5" t="n"/>
      <c r="W30" s="6" t="n"/>
      <c r="X30" s="6" t="n"/>
      <c r="Z30" s="5" t="n"/>
    </row>
    <row r="31">
      <c r="D31" s="5" t="n"/>
      <c r="E31" s="5" t="n"/>
      <c r="F31" s="5" t="n"/>
      <c r="I31">
        <f>VALUE(LEFT($G31,1))*VALUE(LEFT($H31,1))</f>
        <v/>
      </c>
      <c r="J31">
        <f>IF($I31&gt;=20,"Critical",IF($I31&gt;=15,"High",IF($I31&gt;=10,"Medium",IF($I31&gt;=5,"Low",IF($I31&gt;0,"Very Low","")))))</f>
        <v/>
      </c>
      <c r="K31" s="5" t="n"/>
      <c r="O31">
        <f>VALUE(LEFT($M31,1))*VALUE(LEFT($N31,1))</f>
        <v/>
      </c>
      <c r="P31">
        <f>IF($O31&gt;=20,"Critical",IF($O31&gt;=15,"High",IF($O31&gt;=10,"Medium",IF($O31&gt;=5,"Low",IF($O31&gt;0,"Very Low","")))))</f>
        <v/>
      </c>
      <c r="S31" s="5" t="n"/>
      <c r="V31" s="5" t="n"/>
      <c r="W31" s="6" t="n"/>
      <c r="X31" s="6" t="n"/>
      <c r="Z31" s="5" t="n"/>
    </row>
    <row r="32">
      <c r="D32" s="5" t="n"/>
      <c r="E32" s="5" t="n"/>
      <c r="F32" s="5" t="n"/>
      <c r="I32">
        <f>VALUE(LEFT($G32,1))*VALUE(LEFT($H32,1))</f>
        <v/>
      </c>
      <c r="J32">
        <f>IF($I32&gt;=20,"Critical",IF($I32&gt;=15,"High",IF($I32&gt;=10,"Medium",IF($I32&gt;=5,"Low",IF($I32&gt;0,"Very Low","")))))</f>
        <v/>
      </c>
      <c r="K32" s="5" t="n"/>
      <c r="O32">
        <f>VALUE(LEFT($M32,1))*VALUE(LEFT($N32,1))</f>
        <v/>
      </c>
      <c r="P32">
        <f>IF($O32&gt;=20,"Critical",IF($O32&gt;=15,"High",IF($O32&gt;=10,"Medium",IF($O32&gt;=5,"Low",IF($O32&gt;0,"Very Low","")))))</f>
        <v/>
      </c>
      <c r="S32" s="5" t="n"/>
      <c r="V32" s="5" t="n"/>
      <c r="W32" s="6" t="n"/>
      <c r="X32" s="6" t="n"/>
      <c r="Z32" s="5" t="n"/>
    </row>
    <row r="33">
      <c r="D33" s="5" t="n"/>
      <c r="E33" s="5" t="n"/>
      <c r="F33" s="5" t="n"/>
      <c r="I33">
        <f>VALUE(LEFT($G33,1))*VALUE(LEFT($H33,1))</f>
        <v/>
      </c>
      <c r="J33">
        <f>IF($I33&gt;=20,"Critical",IF($I33&gt;=15,"High",IF($I33&gt;=10,"Medium",IF($I33&gt;=5,"Low",IF($I33&gt;0,"Very Low","")))))</f>
        <v/>
      </c>
      <c r="K33" s="5" t="n"/>
      <c r="O33">
        <f>VALUE(LEFT($M33,1))*VALUE(LEFT($N33,1))</f>
        <v/>
      </c>
      <c r="P33">
        <f>IF($O33&gt;=20,"Critical",IF($O33&gt;=15,"High",IF($O33&gt;=10,"Medium",IF($O33&gt;=5,"Low",IF($O33&gt;0,"Very Low","")))))</f>
        <v/>
      </c>
      <c r="S33" s="5" t="n"/>
      <c r="V33" s="5" t="n"/>
      <c r="W33" s="6" t="n"/>
      <c r="X33" s="6" t="n"/>
      <c r="Z33" s="5" t="n"/>
    </row>
    <row r="34">
      <c r="D34" s="5" t="n"/>
      <c r="E34" s="5" t="n"/>
      <c r="F34" s="5" t="n"/>
      <c r="I34">
        <f>VALUE(LEFT($G34,1))*VALUE(LEFT($H34,1))</f>
        <v/>
      </c>
      <c r="J34">
        <f>IF($I34&gt;=20,"Critical",IF($I34&gt;=15,"High",IF($I34&gt;=10,"Medium",IF($I34&gt;=5,"Low",IF($I34&gt;0,"Very Low","")))))</f>
        <v/>
      </c>
      <c r="K34" s="5" t="n"/>
      <c r="O34">
        <f>VALUE(LEFT($M34,1))*VALUE(LEFT($N34,1))</f>
        <v/>
      </c>
      <c r="P34">
        <f>IF($O34&gt;=20,"Critical",IF($O34&gt;=15,"High",IF($O34&gt;=10,"Medium",IF($O34&gt;=5,"Low",IF($O34&gt;0,"Very Low","")))))</f>
        <v/>
      </c>
      <c r="S34" s="5" t="n"/>
      <c r="V34" s="5" t="n"/>
      <c r="W34" s="6" t="n"/>
      <c r="X34" s="6" t="n"/>
      <c r="Z34" s="5" t="n"/>
    </row>
    <row r="35">
      <c r="D35" s="5" t="n"/>
      <c r="E35" s="5" t="n"/>
      <c r="F35" s="5" t="n"/>
      <c r="I35">
        <f>VALUE(LEFT($G35,1))*VALUE(LEFT($H35,1))</f>
        <v/>
      </c>
      <c r="J35">
        <f>IF($I35&gt;=20,"Critical",IF($I35&gt;=15,"High",IF($I35&gt;=10,"Medium",IF($I35&gt;=5,"Low",IF($I35&gt;0,"Very Low","")))))</f>
        <v/>
      </c>
      <c r="K35" s="5" t="n"/>
      <c r="O35">
        <f>VALUE(LEFT($M35,1))*VALUE(LEFT($N35,1))</f>
        <v/>
      </c>
      <c r="P35">
        <f>IF($O35&gt;=20,"Critical",IF($O35&gt;=15,"High",IF($O35&gt;=10,"Medium",IF($O35&gt;=5,"Low",IF($O35&gt;0,"Very Low","")))))</f>
        <v/>
      </c>
      <c r="S35" s="5" t="n"/>
      <c r="V35" s="5" t="n"/>
      <c r="W35" s="6" t="n"/>
      <c r="X35" s="6" t="n"/>
      <c r="Z35" s="5" t="n"/>
    </row>
    <row r="36">
      <c r="D36" s="5" t="n"/>
      <c r="E36" s="5" t="n"/>
      <c r="F36" s="5" t="n"/>
      <c r="I36">
        <f>VALUE(LEFT($G36,1))*VALUE(LEFT($H36,1))</f>
        <v/>
      </c>
      <c r="J36">
        <f>IF($I36&gt;=20,"Critical",IF($I36&gt;=15,"High",IF($I36&gt;=10,"Medium",IF($I36&gt;=5,"Low",IF($I36&gt;0,"Very Low","")))))</f>
        <v/>
      </c>
      <c r="K36" s="5" t="n"/>
      <c r="O36">
        <f>VALUE(LEFT($M36,1))*VALUE(LEFT($N36,1))</f>
        <v/>
      </c>
      <c r="P36">
        <f>IF($O36&gt;=20,"Critical",IF($O36&gt;=15,"High",IF($O36&gt;=10,"Medium",IF($O36&gt;=5,"Low",IF($O36&gt;0,"Very Low","")))))</f>
        <v/>
      </c>
      <c r="S36" s="5" t="n"/>
      <c r="V36" s="5" t="n"/>
      <c r="W36" s="6" t="n"/>
      <c r="X36" s="6" t="n"/>
      <c r="Z36" s="5" t="n"/>
    </row>
    <row r="37">
      <c r="D37" s="5" t="n"/>
      <c r="E37" s="5" t="n"/>
      <c r="F37" s="5" t="n"/>
      <c r="I37">
        <f>VALUE(LEFT($G37,1))*VALUE(LEFT($H37,1))</f>
        <v/>
      </c>
      <c r="J37">
        <f>IF($I37&gt;=20,"Critical",IF($I37&gt;=15,"High",IF($I37&gt;=10,"Medium",IF($I37&gt;=5,"Low",IF($I37&gt;0,"Very Low","")))))</f>
        <v/>
      </c>
      <c r="K37" s="5" t="n"/>
      <c r="O37">
        <f>VALUE(LEFT($M37,1))*VALUE(LEFT($N37,1))</f>
        <v/>
      </c>
      <c r="P37">
        <f>IF($O37&gt;=20,"Critical",IF($O37&gt;=15,"High",IF($O37&gt;=10,"Medium",IF($O37&gt;=5,"Low",IF($O37&gt;0,"Very Low","")))))</f>
        <v/>
      </c>
      <c r="S37" s="5" t="n"/>
      <c r="V37" s="5" t="n"/>
      <c r="W37" s="6" t="n"/>
      <c r="X37" s="6" t="n"/>
      <c r="Z37" s="5" t="n"/>
    </row>
    <row r="38">
      <c r="D38" s="5" t="n"/>
      <c r="E38" s="5" t="n"/>
      <c r="F38" s="5" t="n"/>
      <c r="I38">
        <f>VALUE(LEFT($G38,1))*VALUE(LEFT($H38,1))</f>
        <v/>
      </c>
      <c r="J38">
        <f>IF($I38&gt;=20,"Critical",IF($I38&gt;=15,"High",IF($I38&gt;=10,"Medium",IF($I38&gt;=5,"Low",IF($I38&gt;0,"Very Low","")))))</f>
        <v/>
      </c>
      <c r="K38" s="5" t="n"/>
      <c r="O38">
        <f>VALUE(LEFT($M38,1))*VALUE(LEFT($N38,1))</f>
        <v/>
      </c>
      <c r="P38">
        <f>IF($O38&gt;=20,"Critical",IF($O38&gt;=15,"High",IF($O38&gt;=10,"Medium",IF($O38&gt;=5,"Low",IF($O38&gt;0,"Very Low","")))))</f>
        <v/>
      </c>
      <c r="S38" s="5" t="n"/>
      <c r="V38" s="5" t="n"/>
      <c r="W38" s="6" t="n"/>
      <c r="X38" s="6" t="n"/>
      <c r="Z38" s="5" t="n"/>
    </row>
    <row r="39">
      <c r="D39" s="5" t="n"/>
      <c r="E39" s="5" t="n"/>
      <c r="F39" s="5" t="n"/>
      <c r="I39">
        <f>VALUE(LEFT($G39,1))*VALUE(LEFT($H39,1))</f>
        <v/>
      </c>
      <c r="J39">
        <f>IF($I39&gt;=20,"Critical",IF($I39&gt;=15,"High",IF($I39&gt;=10,"Medium",IF($I39&gt;=5,"Low",IF($I39&gt;0,"Very Low","")))))</f>
        <v/>
      </c>
      <c r="K39" s="5" t="n"/>
      <c r="O39">
        <f>VALUE(LEFT($M39,1))*VALUE(LEFT($N39,1))</f>
        <v/>
      </c>
      <c r="P39">
        <f>IF($O39&gt;=20,"Critical",IF($O39&gt;=15,"High",IF($O39&gt;=10,"Medium",IF($O39&gt;=5,"Low",IF($O39&gt;0,"Very Low","")))))</f>
        <v/>
      </c>
      <c r="S39" s="5" t="n"/>
      <c r="V39" s="5" t="n"/>
      <c r="W39" s="6" t="n"/>
      <c r="X39" s="6" t="n"/>
      <c r="Z39" s="5" t="n"/>
    </row>
    <row r="40">
      <c r="D40" s="5" t="n"/>
      <c r="E40" s="5" t="n"/>
      <c r="F40" s="5" t="n"/>
      <c r="I40">
        <f>VALUE(LEFT($G40,1))*VALUE(LEFT($H40,1))</f>
        <v/>
      </c>
      <c r="J40">
        <f>IF($I40&gt;=20,"Critical",IF($I40&gt;=15,"High",IF($I40&gt;=10,"Medium",IF($I40&gt;=5,"Low",IF($I40&gt;0,"Very Low","")))))</f>
        <v/>
      </c>
      <c r="K40" s="5" t="n"/>
      <c r="O40">
        <f>VALUE(LEFT($M40,1))*VALUE(LEFT($N40,1))</f>
        <v/>
      </c>
      <c r="P40">
        <f>IF($O40&gt;=20,"Critical",IF($O40&gt;=15,"High",IF($O40&gt;=10,"Medium",IF($O40&gt;=5,"Low",IF($O40&gt;0,"Very Low","")))))</f>
        <v/>
      </c>
      <c r="S40" s="5" t="n"/>
      <c r="V40" s="5" t="n"/>
      <c r="W40" s="6" t="n"/>
      <c r="X40" s="6" t="n"/>
      <c r="Z40" s="5" t="n"/>
    </row>
    <row r="41">
      <c r="D41" s="5" t="n"/>
      <c r="E41" s="5" t="n"/>
      <c r="F41" s="5" t="n"/>
      <c r="I41">
        <f>VALUE(LEFT($G41,1))*VALUE(LEFT($H41,1))</f>
        <v/>
      </c>
      <c r="J41">
        <f>IF($I41&gt;=20,"Critical",IF($I41&gt;=15,"High",IF($I41&gt;=10,"Medium",IF($I41&gt;=5,"Low",IF($I41&gt;0,"Very Low","")))))</f>
        <v/>
      </c>
      <c r="K41" s="5" t="n"/>
      <c r="O41">
        <f>VALUE(LEFT($M41,1))*VALUE(LEFT($N41,1))</f>
        <v/>
      </c>
      <c r="P41">
        <f>IF($O41&gt;=20,"Critical",IF($O41&gt;=15,"High",IF($O41&gt;=10,"Medium",IF($O41&gt;=5,"Low",IF($O41&gt;0,"Very Low","")))))</f>
        <v/>
      </c>
      <c r="S41" s="5" t="n"/>
      <c r="V41" s="5" t="n"/>
      <c r="W41" s="6" t="n"/>
      <c r="X41" s="6" t="n"/>
      <c r="Z41" s="5" t="n"/>
    </row>
    <row r="42">
      <c r="D42" s="5" t="n"/>
      <c r="E42" s="5" t="n"/>
      <c r="F42" s="5" t="n"/>
      <c r="I42">
        <f>VALUE(LEFT($G42,1))*VALUE(LEFT($H42,1))</f>
        <v/>
      </c>
      <c r="J42">
        <f>IF($I42&gt;=20,"Critical",IF($I42&gt;=15,"High",IF($I42&gt;=10,"Medium",IF($I42&gt;=5,"Low",IF($I42&gt;0,"Very Low","")))))</f>
        <v/>
      </c>
      <c r="K42" s="5" t="n"/>
      <c r="O42">
        <f>VALUE(LEFT($M42,1))*VALUE(LEFT($N42,1))</f>
        <v/>
      </c>
      <c r="P42">
        <f>IF($O42&gt;=20,"Critical",IF($O42&gt;=15,"High",IF($O42&gt;=10,"Medium",IF($O42&gt;=5,"Low",IF($O42&gt;0,"Very Low","")))))</f>
        <v/>
      </c>
      <c r="S42" s="5" t="n"/>
      <c r="V42" s="5" t="n"/>
      <c r="W42" s="6" t="n"/>
      <c r="X42" s="6" t="n"/>
      <c r="Z42" s="5" t="n"/>
    </row>
    <row r="43">
      <c r="D43" s="5" t="n"/>
      <c r="E43" s="5" t="n"/>
      <c r="F43" s="5" t="n"/>
      <c r="I43">
        <f>VALUE(LEFT($G43,1))*VALUE(LEFT($H43,1))</f>
        <v/>
      </c>
      <c r="J43">
        <f>IF($I43&gt;=20,"Critical",IF($I43&gt;=15,"High",IF($I43&gt;=10,"Medium",IF($I43&gt;=5,"Low",IF($I43&gt;0,"Very Low","")))))</f>
        <v/>
      </c>
      <c r="K43" s="5" t="n"/>
      <c r="O43">
        <f>VALUE(LEFT($M43,1))*VALUE(LEFT($N43,1))</f>
        <v/>
      </c>
      <c r="P43">
        <f>IF($O43&gt;=20,"Critical",IF($O43&gt;=15,"High",IF($O43&gt;=10,"Medium",IF($O43&gt;=5,"Low",IF($O43&gt;0,"Very Low","")))))</f>
        <v/>
      </c>
      <c r="S43" s="5" t="n"/>
      <c r="V43" s="5" t="n"/>
      <c r="W43" s="6" t="n"/>
      <c r="X43" s="6" t="n"/>
      <c r="Z43" s="5" t="n"/>
    </row>
    <row r="44">
      <c r="D44" s="5" t="n"/>
      <c r="E44" s="5" t="n"/>
      <c r="F44" s="5" t="n"/>
      <c r="I44">
        <f>VALUE(LEFT($G44,1))*VALUE(LEFT($H44,1))</f>
        <v/>
      </c>
      <c r="J44">
        <f>IF($I44&gt;=20,"Critical",IF($I44&gt;=15,"High",IF($I44&gt;=10,"Medium",IF($I44&gt;=5,"Low",IF($I44&gt;0,"Very Low","")))))</f>
        <v/>
      </c>
      <c r="K44" s="5" t="n"/>
      <c r="O44">
        <f>VALUE(LEFT($M44,1))*VALUE(LEFT($N44,1))</f>
        <v/>
      </c>
      <c r="P44">
        <f>IF($O44&gt;=20,"Critical",IF($O44&gt;=15,"High",IF($O44&gt;=10,"Medium",IF($O44&gt;=5,"Low",IF($O44&gt;0,"Very Low","")))))</f>
        <v/>
      </c>
      <c r="S44" s="5" t="n"/>
      <c r="V44" s="5" t="n"/>
      <c r="W44" s="6" t="n"/>
      <c r="X44" s="6" t="n"/>
      <c r="Z44" s="5" t="n"/>
    </row>
    <row r="45">
      <c r="D45" s="5" t="n"/>
      <c r="E45" s="5" t="n"/>
      <c r="F45" s="5" t="n"/>
      <c r="I45">
        <f>VALUE(LEFT($G45,1))*VALUE(LEFT($H45,1))</f>
        <v/>
      </c>
      <c r="J45">
        <f>IF($I45&gt;=20,"Critical",IF($I45&gt;=15,"High",IF($I45&gt;=10,"Medium",IF($I45&gt;=5,"Low",IF($I45&gt;0,"Very Low","")))))</f>
        <v/>
      </c>
      <c r="K45" s="5" t="n"/>
      <c r="O45">
        <f>VALUE(LEFT($M45,1))*VALUE(LEFT($N45,1))</f>
        <v/>
      </c>
      <c r="P45">
        <f>IF($O45&gt;=20,"Critical",IF($O45&gt;=15,"High",IF($O45&gt;=10,"Medium",IF($O45&gt;=5,"Low",IF($O45&gt;0,"Very Low","")))))</f>
        <v/>
      </c>
      <c r="S45" s="5" t="n"/>
      <c r="V45" s="5" t="n"/>
      <c r="W45" s="6" t="n"/>
      <c r="X45" s="6" t="n"/>
      <c r="Z45" s="5" t="n"/>
    </row>
    <row r="46">
      <c r="D46" s="5" t="n"/>
      <c r="E46" s="5" t="n"/>
      <c r="F46" s="5" t="n"/>
      <c r="I46">
        <f>VALUE(LEFT($G46,1))*VALUE(LEFT($H46,1))</f>
        <v/>
      </c>
      <c r="J46">
        <f>IF($I46&gt;=20,"Critical",IF($I46&gt;=15,"High",IF($I46&gt;=10,"Medium",IF($I46&gt;=5,"Low",IF($I46&gt;0,"Very Low","")))))</f>
        <v/>
      </c>
      <c r="K46" s="5" t="n"/>
      <c r="O46">
        <f>VALUE(LEFT($M46,1))*VALUE(LEFT($N46,1))</f>
        <v/>
      </c>
      <c r="P46">
        <f>IF($O46&gt;=20,"Critical",IF($O46&gt;=15,"High",IF($O46&gt;=10,"Medium",IF($O46&gt;=5,"Low",IF($O46&gt;0,"Very Low","")))))</f>
        <v/>
      </c>
      <c r="S46" s="5" t="n"/>
      <c r="V46" s="5" t="n"/>
      <c r="W46" s="6" t="n"/>
      <c r="X46" s="6" t="n"/>
      <c r="Z46" s="5" t="n"/>
    </row>
    <row r="47">
      <c r="D47" s="5" t="n"/>
      <c r="E47" s="5" t="n"/>
      <c r="F47" s="5" t="n"/>
      <c r="I47">
        <f>VALUE(LEFT($G47,1))*VALUE(LEFT($H47,1))</f>
        <v/>
      </c>
      <c r="J47">
        <f>IF($I47&gt;=20,"Critical",IF($I47&gt;=15,"High",IF($I47&gt;=10,"Medium",IF($I47&gt;=5,"Low",IF($I47&gt;0,"Very Low","")))))</f>
        <v/>
      </c>
      <c r="K47" s="5" t="n"/>
      <c r="O47">
        <f>VALUE(LEFT($M47,1))*VALUE(LEFT($N47,1))</f>
        <v/>
      </c>
      <c r="P47">
        <f>IF($O47&gt;=20,"Critical",IF($O47&gt;=15,"High",IF($O47&gt;=10,"Medium",IF($O47&gt;=5,"Low",IF($O47&gt;0,"Very Low","")))))</f>
        <v/>
      </c>
      <c r="S47" s="5" t="n"/>
      <c r="V47" s="5" t="n"/>
      <c r="W47" s="6" t="n"/>
      <c r="X47" s="6" t="n"/>
      <c r="Z47" s="5" t="n"/>
    </row>
    <row r="48">
      <c r="D48" s="5" t="n"/>
      <c r="E48" s="5" t="n"/>
      <c r="F48" s="5" t="n"/>
      <c r="I48">
        <f>VALUE(LEFT($G48,1))*VALUE(LEFT($H48,1))</f>
        <v/>
      </c>
      <c r="J48">
        <f>IF($I48&gt;=20,"Critical",IF($I48&gt;=15,"High",IF($I48&gt;=10,"Medium",IF($I48&gt;=5,"Low",IF($I48&gt;0,"Very Low","")))))</f>
        <v/>
      </c>
      <c r="K48" s="5" t="n"/>
      <c r="O48">
        <f>VALUE(LEFT($M48,1))*VALUE(LEFT($N48,1))</f>
        <v/>
      </c>
      <c r="P48">
        <f>IF($O48&gt;=20,"Critical",IF($O48&gt;=15,"High",IF($O48&gt;=10,"Medium",IF($O48&gt;=5,"Low",IF($O48&gt;0,"Very Low","")))))</f>
        <v/>
      </c>
      <c r="S48" s="5" t="n"/>
      <c r="V48" s="5" t="n"/>
      <c r="W48" s="6" t="n"/>
      <c r="X48" s="6" t="n"/>
      <c r="Z48" s="5" t="n"/>
    </row>
    <row r="49">
      <c r="D49" s="5" t="n"/>
      <c r="E49" s="5" t="n"/>
      <c r="F49" s="5" t="n"/>
      <c r="I49">
        <f>VALUE(LEFT($G49,1))*VALUE(LEFT($H49,1))</f>
        <v/>
      </c>
      <c r="J49">
        <f>IF($I49&gt;=20,"Critical",IF($I49&gt;=15,"High",IF($I49&gt;=10,"Medium",IF($I49&gt;=5,"Low",IF($I49&gt;0,"Very Low","")))))</f>
        <v/>
      </c>
      <c r="K49" s="5" t="n"/>
      <c r="O49">
        <f>VALUE(LEFT($M49,1))*VALUE(LEFT($N49,1))</f>
        <v/>
      </c>
      <c r="P49">
        <f>IF($O49&gt;=20,"Critical",IF($O49&gt;=15,"High",IF($O49&gt;=10,"Medium",IF($O49&gt;=5,"Low",IF($O49&gt;0,"Very Low","")))))</f>
        <v/>
      </c>
      <c r="S49" s="5" t="n"/>
      <c r="V49" s="5" t="n"/>
      <c r="W49" s="6" t="n"/>
      <c r="X49" s="6" t="n"/>
      <c r="Z49" s="5" t="n"/>
    </row>
    <row r="50">
      <c r="D50" s="5" t="n"/>
      <c r="E50" s="5" t="n"/>
      <c r="F50" s="5" t="n"/>
      <c r="I50">
        <f>VALUE(LEFT($G50,1))*VALUE(LEFT($H50,1))</f>
        <v/>
      </c>
      <c r="J50">
        <f>IF($I50&gt;=20,"Critical",IF($I50&gt;=15,"High",IF($I50&gt;=10,"Medium",IF($I50&gt;=5,"Low",IF($I50&gt;0,"Very Low","")))))</f>
        <v/>
      </c>
      <c r="K50" s="5" t="n"/>
      <c r="O50">
        <f>VALUE(LEFT($M50,1))*VALUE(LEFT($N50,1))</f>
        <v/>
      </c>
      <c r="P50">
        <f>IF($O50&gt;=20,"Critical",IF($O50&gt;=15,"High",IF($O50&gt;=10,"Medium",IF($O50&gt;=5,"Low",IF($O50&gt;0,"Very Low","")))))</f>
        <v/>
      </c>
      <c r="S50" s="5" t="n"/>
      <c r="V50" s="5" t="n"/>
      <c r="W50" s="6" t="n"/>
      <c r="X50" s="6" t="n"/>
      <c r="Z50" s="5" t="n"/>
    </row>
    <row r="51">
      <c r="D51" s="5" t="n"/>
      <c r="E51" s="5" t="n"/>
      <c r="F51" s="5" t="n"/>
      <c r="I51">
        <f>VALUE(LEFT($G51,1))*VALUE(LEFT($H51,1))</f>
        <v/>
      </c>
      <c r="J51">
        <f>IF($I51&gt;=20,"Critical",IF($I51&gt;=15,"High",IF($I51&gt;=10,"Medium",IF($I51&gt;=5,"Low",IF($I51&gt;0,"Very Low","")))))</f>
        <v/>
      </c>
      <c r="K51" s="5" t="n"/>
      <c r="O51">
        <f>VALUE(LEFT($M51,1))*VALUE(LEFT($N51,1))</f>
        <v/>
      </c>
      <c r="P51">
        <f>IF($O51&gt;=20,"Critical",IF($O51&gt;=15,"High",IF($O51&gt;=10,"Medium",IF($O51&gt;=5,"Low",IF($O51&gt;0,"Very Low","")))))</f>
        <v/>
      </c>
      <c r="S51" s="5" t="n"/>
      <c r="V51" s="5" t="n"/>
      <c r="W51" s="6" t="n"/>
      <c r="X51" s="6" t="n"/>
      <c r="Z51" s="5" t="n"/>
    </row>
    <row r="52">
      <c r="D52" s="5" t="n"/>
      <c r="E52" s="5" t="n"/>
      <c r="F52" s="5" t="n"/>
      <c r="I52">
        <f>VALUE(LEFT($G52,1))*VALUE(LEFT($H52,1))</f>
        <v/>
      </c>
      <c r="J52">
        <f>IF($I52&gt;=20,"Critical",IF($I52&gt;=15,"High",IF($I52&gt;=10,"Medium",IF($I52&gt;=5,"Low",IF($I52&gt;0,"Very Low","")))))</f>
        <v/>
      </c>
      <c r="K52" s="5" t="n"/>
      <c r="O52">
        <f>VALUE(LEFT($M52,1))*VALUE(LEFT($N52,1))</f>
        <v/>
      </c>
      <c r="P52">
        <f>IF($O52&gt;=20,"Critical",IF($O52&gt;=15,"High",IF($O52&gt;=10,"Medium",IF($O52&gt;=5,"Low",IF($O52&gt;0,"Very Low","")))))</f>
        <v/>
      </c>
      <c r="S52" s="5" t="n"/>
      <c r="V52" s="5" t="n"/>
      <c r="W52" s="6" t="n"/>
      <c r="X52" s="6" t="n"/>
      <c r="Z52" s="5" t="n"/>
    </row>
    <row r="53">
      <c r="D53" s="5" t="n"/>
      <c r="E53" s="5" t="n"/>
      <c r="F53" s="5" t="n"/>
      <c r="I53">
        <f>VALUE(LEFT($G53,1))*VALUE(LEFT($H53,1))</f>
        <v/>
      </c>
      <c r="J53">
        <f>IF($I53&gt;=20,"Critical",IF($I53&gt;=15,"High",IF($I53&gt;=10,"Medium",IF($I53&gt;=5,"Low",IF($I53&gt;0,"Very Low","")))))</f>
        <v/>
      </c>
      <c r="K53" s="5" t="n"/>
      <c r="O53">
        <f>VALUE(LEFT($M53,1))*VALUE(LEFT($N53,1))</f>
        <v/>
      </c>
      <c r="P53">
        <f>IF($O53&gt;=20,"Critical",IF($O53&gt;=15,"High",IF($O53&gt;=10,"Medium",IF($O53&gt;=5,"Low",IF($O53&gt;0,"Very Low","")))))</f>
        <v/>
      </c>
      <c r="S53" s="5" t="n"/>
      <c r="V53" s="5" t="n"/>
      <c r="W53" s="6" t="n"/>
      <c r="X53" s="6" t="n"/>
      <c r="Z53" s="5" t="n"/>
    </row>
    <row r="54">
      <c r="D54" s="5" t="n"/>
      <c r="E54" s="5" t="n"/>
      <c r="F54" s="5" t="n"/>
      <c r="I54">
        <f>VALUE(LEFT($G54,1))*VALUE(LEFT($H54,1))</f>
        <v/>
      </c>
      <c r="J54">
        <f>IF($I54&gt;=20,"Critical",IF($I54&gt;=15,"High",IF($I54&gt;=10,"Medium",IF($I54&gt;=5,"Low",IF($I54&gt;0,"Very Low","")))))</f>
        <v/>
      </c>
      <c r="K54" s="5" t="n"/>
      <c r="O54">
        <f>VALUE(LEFT($M54,1))*VALUE(LEFT($N54,1))</f>
        <v/>
      </c>
      <c r="P54">
        <f>IF($O54&gt;=20,"Critical",IF($O54&gt;=15,"High",IF($O54&gt;=10,"Medium",IF($O54&gt;=5,"Low",IF($O54&gt;0,"Very Low","")))))</f>
        <v/>
      </c>
      <c r="S54" s="5" t="n"/>
      <c r="V54" s="5" t="n"/>
      <c r="W54" s="6" t="n"/>
      <c r="X54" s="6" t="n"/>
      <c r="Z54" s="5" t="n"/>
    </row>
    <row r="55">
      <c r="D55" s="5" t="n"/>
      <c r="E55" s="5" t="n"/>
      <c r="F55" s="5" t="n"/>
      <c r="I55">
        <f>VALUE(LEFT($G55,1))*VALUE(LEFT($H55,1))</f>
        <v/>
      </c>
      <c r="J55">
        <f>IF($I55&gt;=20,"Critical",IF($I55&gt;=15,"High",IF($I55&gt;=10,"Medium",IF($I55&gt;=5,"Low",IF($I55&gt;0,"Very Low","")))))</f>
        <v/>
      </c>
      <c r="K55" s="5" t="n"/>
      <c r="O55">
        <f>VALUE(LEFT($M55,1))*VALUE(LEFT($N55,1))</f>
        <v/>
      </c>
      <c r="P55">
        <f>IF($O55&gt;=20,"Critical",IF($O55&gt;=15,"High",IF($O55&gt;=10,"Medium",IF($O55&gt;=5,"Low",IF($O55&gt;0,"Very Low","")))))</f>
        <v/>
      </c>
      <c r="S55" s="5" t="n"/>
      <c r="V55" s="5" t="n"/>
      <c r="W55" s="6" t="n"/>
      <c r="X55" s="6" t="n"/>
      <c r="Z55" s="5" t="n"/>
    </row>
    <row r="56">
      <c r="D56" s="5" t="n"/>
      <c r="E56" s="5" t="n"/>
      <c r="F56" s="5" t="n"/>
      <c r="I56">
        <f>VALUE(LEFT($G56,1))*VALUE(LEFT($H56,1))</f>
        <v/>
      </c>
      <c r="J56">
        <f>IF($I56&gt;=20,"Critical",IF($I56&gt;=15,"High",IF($I56&gt;=10,"Medium",IF($I56&gt;=5,"Low",IF($I56&gt;0,"Very Low","")))))</f>
        <v/>
      </c>
      <c r="K56" s="5" t="n"/>
      <c r="O56">
        <f>VALUE(LEFT($M56,1))*VALUE(LEFT($N56,1))</f>
        <v/>
      </c>
      <c r="P56">
        <f>IF($O56&gt;=20,"Critical",IF($O56&gt;=15,"High",IF($O56&gt;=10,"Medium",IF($O56&gt;=5,"Low",IF($O56&gt;0,"Very Low","")))))</f>
        <v/>
      </c>
      <c r="S56" s="5" t="n"/>
      <c r="V56" s="5" t="n"/>
      <c r="W56" s="6" t="n"/>
      <c r="X56" s="6" t="n"/>
      <c r="Z56" s="5" t="n"/>
    </row>
    <row r="57">
      <c r="D57" s="5" t="n"/>
      <c r="E57" s="5" t="n"/>
      <c r="F57" s="5" t="n"/>
      <c r="I57">
        <f>VALUE(LEFT($G57,1))*VALUE(LEFT($H57,1))</f>
        <v/>
      </c>
      <c r="J57">
        <f>IF($I57&gt;=20,"Critical",IF($I57&gt;=15,"High",IF($I57&gt;=10,"Medium",IF($I57&gt;=5,"Low",IF($I57&gt;0,"Very Low","")))))</f>
        <v/>
      </c>
      <c r="K57" s="5" t="n"/>
      <c r="O57">
        <f>VALUE(LEFT($M57,1))*VALUE(LEFT($N57,1))</f>
        <v/>
      </c>
      <c r="P57">
        <f>IF($O57&gt;=20,"Critical",IF($O57&gt;=15,"High",IF($O57&gt;=10,"Medium",IF($O57&gt;=5,"Low",IF($O57&gt;0,"Very Low","")))))</f>
        <v/>
      </c>
      <c r="S57" s="5" t="n"/>
      <c r="V57" s="5" t="n"/>
      <c r="W57" s="6" t="n"/>
      <c r="X57" s="6" t="n"/>
      <c r="Z57" s="5" t="n"/>
    </row>
    <row r="58">
      <c r="D58" s="5" t="n"/>
      <c r="E58" s="5" t="n"/>
      <c r="F58" s="5" t="n"/>
      <c r="I58">
        <f>VALUE(LEFT($G58,1))*VALUE(LEFT($H58,1))</f>
        <v/>
      </c>
      <c r="J58">
        <f>IF($I58&gt;=20,"Critical",IF($I58&gt;=15,"High",IF($I58&gt;=10,"Medium",IF($I58&gt;=5,"Low",IF($I58&gt;0,"Very Low","")))))</f>
        <v/>
      </c>
      <c r="K58" s="5" t="n"/>
      <c r="O58">
        <f>VALUE(LEFT($M58,1))*VALUE(LEFT($N58,1))</f>
        <v/>
      </c>
      <c r="P58">
        <f>IF($O58&gt;=20,"Critical",IF($O58&gt;=15,"High",IF($O58&gt;=10,"Medium",IF($O58&gt;=5,"Low",IF($O58&gt;0,"Very Low","")))))</f>
        <v/>
      </c>
      <c r="S58" s="5" t="n"/>
      <c r="V58" s="5" t="n"/>
      <c r="W58" s="6" t="n"/>
      <c r="X58" s="6" t="n"/>
      <c r="Z58" s="5" t="n"/>
    </row>
    <row r="59">
      <c r="D59" s="5" t="n"/>
      <c r="E59" s="5" t="n"/>
      <c r="F59" s="5" t="n"/>
      <c r="I59">
        <f>VALUE(LEFT($G59,1))*VALUE(LEFT($H59,1))</f>
        <v/>
      </c>
      <c r="J59">
        <f>IF($I59&gt;=20,"Critical",IF($I59&gt;=15,"High",IF($I59&gt;=10,"Medium",IF($I59&gt;=5,"Low",IF($I59&gt;0,"Very Low","")))))</f>
        <v/>
      </c>
      <c r="K59" s="5" t="n"/>
      <c r="O59">
        <f>VALUE(LEFT($M59,1))*VALUE(LEFT($N59,1))</f>
        <v/>
      </c>
      <c r="P59">
        <f>IF($O59&gt;=20,"Critical",IF($O59&gt;=15,"High",IF($O59&gt;=10,"Medium",IF($O59&gt;=5,"Low",IF($O59&gt;0,"Very Low","")))))</f>
        <v/>
      </c>
      <c r="S59" s="5" t="n"/>
      <c r="V59" s="5" t="n"/>
      <c r="W59" s="6" t="n"/>
      <c r="X59" s="6" t="n"/>
      <c r="Z59" s="5" t="n"/>
    </row>
    <row r="60">
      <c r="D60" s="5" t="n"/>
      <c r="E60" s="5" t="n"/>
      <c r="F60" s="5" t="n"/>
      <c r="I60">
        <f>VALUE(LEFT($G60,1))*VALUE(LEFT($H60,1))</f>
        <v/>
      </c>
      <c r="J60">
        <f>IF($I60&gt;=20,"Critical",IF($I60&gt;=15,"High",IF($I60&gt;=10,"Medium",IF($I60&gt;=5,"Low",IF($I60&gt;0,"Very Low","")))))</f>
        <v/>
      </c>
      <c r="K60" s="5" t="n"/>
      <c r="O60">
        <f>VALUE(LEFT($M60,1))*VALUE(LEFT($N60,1))</f>
        <v/>
      </c>
      <c r="P60">
        <f>IF($O60&gt;=20,"Critical",IF($O60&gt;=15,"High",IF($O60&gt;=10,"Medium",IF($O60&gt;=5,"Low",IF($O60&gt;0,"Very Low","")))))</f>
        <v/>
      </c>
      <c r="S60" s="5" t="n"/>
      <c r="V60" s="5" t="n"/>
      <c r="W60" s="6" t="n"/>
      <c r="X60" s="6" t="n"/>
      <c r="Z60" s="5" t="n"/>
    </row>
    <row r="61">
      <c r="D61" s="5" t="n"/>
      <c r="E61" s="5" t="n"/>
      <c r="F61" s="5" t="n"/>
      <c r="I61">
        <f>VALUE(LEFT($G61,1))*VALUE(LEFT($H61,1))</f>
        <v/>
      </c>
      <c r="J61">
        <f>IF($I61&gt;=20,"Critical",IF($I61&gt;=15,"High",IF($I61&gt;=10,"Medium",IF($I61&gt;=5,"Low",IF($I61&gt;0,"Very Low","")))))</f>
        <v/>
      </c>
      <c r="K61" s="5" t="n"/>
      <c r="O61">
        <f>VALUE(LEFT($M61,1))*VALUE(LEFT($N61,1))</f>
        <v/>
      </c>
      <c r="P61">
        <f>IF($O61&gt;=20,"Critical",IF($O61&gt;=15,"High",IF($O61&gt;=10,"Medium",IF($O61&gt;=5,"Low",IF($O61&gt;0,"Very Low","")))))</f>
        <v/>
      </c>
      <c r="S61" s="5" t="n"/>
      <c r="V61" s="5" t="n"/>
      <c r="W61" s="6" t="n"/>
      <c r="X61" s="6" t="n"/>
      <c r="Z61" s="5" t="n"/>
    </row>
    <row r="62">
      <c r="D62" s="5" t="n"/>
      <c r="E62" s="5" t="n"/>
      <c r="F62" s="5" t="n"/>
      <c r="I62">
        <f>VALUE(LEFT($G62,1))*VALUE(LEFT($H62,1))</f>
        <v/>
      </c>
      <c r="J62">
        <f>IF($I62&gt;=20,"Critical",IF($I62&gt;=15,"High",IF($I62&gt;=10,"Medium",IF($I62&gt;=5,"Low",IF($I62&gt;0,"Very Low","")))))</f>
        <v/>
      </c>
      <c r="K62" s="5" t="n"/>
      <c r="O62">
        <f>VALUE(LEFT($M62,1))*VALUE(LEFT($N62,1))</f>
        <v/>
      </c>
      <c r="P62">
        <f>IF($O62&gt;=20,"Critical",IF($O62&gt;=15,"High",IF($O62&gt;=10,"Medium",IF($O62&gt;=5,"Low",IF($O62&gt;0,"Very Low","")))))</f>
        <v/>
      </c>
      <c r="S62" s="5" t="n"/>
      <c r="V62" s="5" t="n"/>
      <c r="W62" s="6" t="n"/>
      <c r="X62" s="6" t="n"/>
      <c r="Z62" s="5" t="n"/>
    </row>
    <row r="63">
      <c r="D63" s="5" t="n"/>
      <c r="E63" s="5" t="n"/>
      <c r="F63" s="5" t="n"/>
      <c r="I63">
        <f>VALUE(LEFT($G63,1))*VALUE(LEFT($H63,1))</f>
        <v/>
      </c>
      <c r="J63">
        <f>IF($I63&gt;=20,"Critical",IF($I63&gt;=15,"High",IF($I63&gt;=10,"Medium",IF($I63&gt;=5,"Low",IF($I63&gt;0,"Very Low","")))))</f>
        <v/>
      </c>
      <c r="K63" s="5" t="n"/>
      <c r="O63">
        <f>VALUE(LEFT($M63,1))*VALUE(LEFT($N63,1))</f>
        <v/>
      </c>
      <c r="P63">
        <f>IF($O63&gt;=20,"Critical",IF($O63&gt;=15,"High",IF($O63&gt;=10,"Medium",IF($O63&gt;=5,"Low",IF($O63&gt;0,"Very Low","")))))</f>
        <v/>
      </c>
      <c r="S63" s="5" t="n"/>
      <c r="V63" s="5" t="n"/>
      <c r="W63" s="6" t="n"/>
      <c r="X63" s="6" t="n"/>
      <c r="Z63" s="5" t="n"/>
    </row>
    <row r="64">
      <c r="D64" s="5" t="n"/>
      <c r="E64" s="5" t="n"/>
      <c r="F64" s="5" t="n"/>
      <c r="I64">
        <f>VALUE(LEFT($G64,1))*VALUE(LEFT($H64,1))</f>
        <v/>
      </c>
      <c r="J64">
        <f>IF($I64&gt;=20,"Critical",IF($I64&gt;=15,"High",IF($I64&gt;=10,"Medium",IF($I64&gt;=5,"Low",IF($I64&gt;0,"Very Low","")))))</f>
        <v/>
      </c>
      <c r="K64" s="5" t="n"/>
      <c r="O64">
        <f>VALUE(LEFT($M64,1))*VALUE(LEFT($N64,1))</f>
        <v/>
      </c>
      <c r="P64">
        <f>IF($O64&gt;=20,"Critical",IF($O64&gt;=15,"High",IF($O64&gt;=10,"Medium",IF($O64&gt;=5,"Low",IF($O64&gt;0,"Very Low","")))))</f>
        <v/>
      </c>
      <c r="S64" s="5" t="n"/>
      <c r="V64" s="5" t="n"/>
      <c r="W64" s="6" t="n"/>
      <c r="X64" s="6" t="n"/>
      <c r="Z64" s="5" t="n"/>
    </row>
    <row r="65">
      <c r="D65" s="5" t="n"/>
      <c r="E65" s="5" t="n"/>
      <c r="F65" s="5" t="n"/>
      <c r="I65">
        <f>VALUE(LEFT($G65,1))*VALUE(LEFT($H65,1))</f>
        <v/>
      </c>
      <c r="J65">
        <f>IF($I65&gt;=20,"Critical",IF($I65&gt;=15,"High",IF($I65&gt;=10,"Medium",IF($I65&gt;=5,"Low",IF($I65&gt;0,"Very Low","")))))</f>
        <v/>
      </c>
      <c r="K65" s="5" t="n"/>
      <c r="O65">
        <f>VALUE(LEFT($M65,1))*VALUE(LEFT($N65,1))</f>
        <v/>
      </c>
      <c r="P65">
        <f>IF($O65&gt;=20,"Critical",IF($O65&gt;=15,"High",IF($O65&gt;=10,"Medium",IF($O65&gt;=5,"Low",IF($O65&gt;0,"Very Low","")))))</f>
        <v/>
      </c>
      <c r="S65" s="5" t="n"/>
      <c r="V65" s="5" t="n"/>
      <c r="W65" s="6" t="n"/>
      <c r="X65" s="6" t="n"/>
      <c r="Z65" s="5" t="n"/>
    </row>
    <row r="66">
      <c r="D66" s="5" t="n"/>
      <c r="E66" s="5" t="n"/>
      <c r="F66" s="5" t="n"/>
      <c r="I66">
        <f>VALUE(LEFT($G66,1))*VALUE(LEFT($H66,1))</f>
        <v/>
      </c>
      <c r="J66">
        <f>IF($I66&gt;=20,"Critical",IF($I66&gt;=15,"High",IF($I66&gt;=10,"Medium",IF($I66&gt;=5,"Low",IF($I66&gt;0,"Very Low","")))))</f>
        <v/>
      </c>
      <c r="K66" s="5" t="n"/>
      <c r="O66">
        <f>VALUE(LEFT($M66,1))*VALUE(LEFT($N66,1))</f>
        <v/>
      </c>
      <c r="P66">
        <f>IF($O66&gt;=20,"Critical",IF($O66&gt;=15,"High",IF($O66&gt;=10,"Medium",IF($O66&gt;=5,"Low",IF($O66&gt;0,"Very Low","")))))</f>
        <v/>
      </c>
      <c r="S66" s="5" t="n"/>
      <c r="V66" s="5" t="n"/>
      <c r="W66" s="6" t="n"/>
      <c r="X66" s="6" t="n"/>
      <c r="Z66" s="5" t="n"/>
    </row>
    <row r="67">
      <c r="D67" s="5" t="n"/>
      <c r="E67" s="5" t="n"/>
      <c r="F67" s="5" t="n"/>
      <c r="I67">
        <f>VALUE(LEFT($G67,1))*VALUE(LEFT($H67,1))</f>
        <v/>
      </c>
      <c r="J67">
        <f>IF($I67&gt;=20,"Critical",IF($I67&gt;=15,"High",IF($I67&gt;=10,"Medium",IF($I67&gt;=5,"Low",IF($I67&gt;0,"Very Low","")))))</f>
        <v/>
      </c>
      <c r="K67" s="5" t="n"/>
      <c r="O67">
        <f>VALUE(LEFT($M67,1))*VALUE(LEFT($N67,1))</f>
        <v/>
      </c>
      <c r="P67">
        <f>IF($O67&gt;=20,"Critical",IF($O67&gt;=15,"High",IF($O67&gt;=10,"Medium",IF($O67&gt;=5,"Low",IF($O67&gt;0,"Very Low","")))))</f>
        <v/>
      </c>
      <c r="S67" s="5" t="n"/>
      <c r="V67" s="5" t="n"/>
      <c r="W67" s="6" t="n"/>
      <c r="X67" s="6" t="n"/>
      <c r="Z67" s="5" t="n"/>
    </row>
    <row r="68">
      <c r="D68" s="5" t="n"/>
      <c r="E68" s="5" t="n"/>
      <c r="F68" s="5" t="n"/>
      <c r="I68">
        <f>VALUE(LEFT($G68,1))*VALUE(LEFT($H68,1))</f>
        <v/>
      </c>
      <c r="J68">
        <f>IF($I68&gt;=20,"Critical",IF($I68&gt;=15,"High",IF($I68&gt;=10,"Medium",IF($I68&gt;=5,"Low",IF($I68&gt;0,"Very Low","")))))</f>
        <v/>
      </c>
      <c r="K68" s="5" t="n"/>
      <c r="O68">
        <f>VALUE(LEFT($M68,1))*VALUE(LEFT($N68,1))</f>
        <v/>
      </c>
      <c r="P68">
        <f>IF($O68&gt;=20,"Critical",IF($O68&gt;=15,"High",IF($O68&gt;=10,"Medium",IF($O68&gt;=5,"Low",IF($O68&gt;0,"Very Low","")))))</f>
        <v/>
      </c>
      <c r="S68" s="5" t="n"/>
      <c r="V68" s="5" t="n"/>
      <c r="W68" s="6" t="n"/>
      <c r="X68" s="6" t="n"/>
      <c r="Z68" s="5" t="n"/>
    </row>
    <row r="69">
      <c r="D69" s="5" t="n"/>
      <c r="E69" s="5" t="n"/>
      <c r="F69" s="5" t="n"/>
      <c r="I69">
        <f>VALUE(LEFT($G69,1))*VALUE(LEFT($H69,1))</f>
        <v/>
      </c>
      <c r="J69">
        <f>IF($I69&gt;=20,"Critical",IF($I69&gt;=15,"High",IF($I69&gt;=10,"Medium",IF($I69&gt;=5,"Low",IF($I69&gt;0,"Very Low","")))))</f>
        <v/>
      </c>
      <c r="K69" s="5" t="n"/>
      <c r="O69">
        <f>VALUE(LEFT($M69,1))*VALUE(LEFT($N69,1))</f>
        <v/>
      </c>
      <c r="P69">
        <f>IF($O69&gt;=20,"Critical",IF($O69&gt;=15,"High",IF($O69&gt;=10,"Medium",IF($O69&gt;=5,"Low",IF($O69&gt;0,"Very Low","")))))</f>
        <v/>
      </c>
      <c r="S69" s="5" t="n"/>
      <c r="V69" s="5" t="n"/>
      <c r="W69" s="6" t="n"/>
      <c r="X69" s="6" t="n"/>
      <c r="Z69" s="5" t="n"/>
    </row>
    <row r="70">
      <c r="D70" s="5" t="n"/>
      <c r="E70" s="5" t="n"/>
      <c r="F70" s="5" t="n"/>
      <c r="I70">
        <f>VALUE(LEFT($G70,1))*VALUE(LEFT($H70,1))</f>
        <v/>
      </c>
      <c r="J70">
        <f>IF($I70&gt;=20,"Critical",IF($I70&gt;=15,"High",IF($I70&gt;=10,"Medium",IF($I70&gt;=5,"Low",IF($I70&gt;0,"Very Low","")))))</f>
        <v/>
      </c>
      <c r="K70" s="5" t="n"/>
      <c r="O70">
        <f>VALUE(LEFT($M70,1))*VALUE(LEFT($N70,1))</f>
        <v/>
      </c>
      <c r="P70">
        <f>IF($O70&gt;=20,"Critical",IF($O70&gt;=15,"High",IF($O70&gt;=10,"Medium",IF($O70&gt;=5,"Low",IF($O70&gt;0,"Very Low","")))))</f>
        <v/>
      </c>
      <c r="S70" s="5" t="n"/>
      <c r="V70" s="5" t="n"/>
      <c r="W70" s="6" t="n"/>
      <c r="X70" s="6" t="n"/>
      <c r="Z70" s="5" t="n"/>
    </row>
    <row r="71">
      <c r="D71" s="5" t="n"/>
      <c r="E71" s="5" t="n"/>
      <c r="F71" s="5" t="n"/>
      <c r="I71">
        <f>VALUE(LEFT($G71,1))*VALUE(LEFT($H71,1))</f>
        <v/>
      </c>
      <c r="J71">
        <f>IF($I71&gt;=20,"Critical",IF($I71&gt;=15,"High",IF($I71&gt;=10,"Medium",IF($I71&gt;=5,"Low",IF($I71&gt;0,"Very Low","")))))</f>
        <v/>
      </c>
      <c r="K71" s="5" t="n"/>
      <c r="O71">
        <f>VALUE(LEFT($M71,1))*VALUE(LEFT($N71,1))</f>
        <v/>
      </c>
      <c r="P71">
        <f>IF($O71&gt;=20,"Critical",IF($O71&gt;=15,"High",IF($O71&gt;=10,"Medium",IF($O71&gt;=5,"Low",IF($O71&gt;0,"Very Low","")))))</f>
        <v/>
      </c>
      <c r="S71" s="5" t="n"/>
      <c r="V71" s="5" t="n"/>
      <c r="W71" s="6" t="n"/>
      <c r="X71" s="6" t="n"/>
      <c r="Z71" s="5" t="n"/>
    </row>
    <row r="72">
      <c r="D72" s="5" t="n"/>
      <c r="E72" s="5" t="n"/>
      <c r="F72" s="5" t="n"/>
      <c r="I72">
        <f>VALUE(LEFT($G72,1))*VALUE(LEFT($H72,1))</f>
        <v/>
      </c>
      <c r="J72">
        <f>IF($I72&gt;=20,"Critical",IF($I72&gt;=15,"High",IF($I72&gt;=10,"Medium",IF($I72&gt;=5,"Low",IF($I72&gt;0,"Very Low","")))))</f>
        <v/>
      </c>
      <c r="K72" s="5" t="n"/>
      <c r="O72">
        <f>VALUE(LEFT($M72,1))*VALUE(LEFT($N72,1))</f>
        <v/>
      </c>
      <c r="P72">
        <f>IF($O72&gt;=20,"Critical",IF($O72&gt;=15,"High",IF($O72&gt;=10,"Medium",IF($O72&gt;=5,"Low",IF($O72&gt;0,"Very Low","")))))</f>
        <v/>
      </c>
      <c r="S72" s="5" t="n"/>
      <c r="V72" s="5" t="n"/>
      <c r="W72" s="6" t="n"/>
      <c r="X72" s="6" t="n"/>
      <c r="Z72" s="5" t="n"/>
    </row>
    <row r="73">
      <c r="D73" s="5" t="n"/>
      <c r="E73" s="5" t="n"/>
      <c r="F73" s="5" t="n"/>
      <c r="I73">
        <f>VALUE(LEFT($G73,1))*VALUE(LEFT($H73,1))</f>
        <v/>
      </c>
      <c r="J73">
        <f>IF($I73&gt;=20,"Critical",IF($I73&gt;=15,"High",IF($I73&gt;=10,"Medium",IF($I73&gt;=5,"Low",IF($I73&gt;0,"Very Low","")))))</f>
        <v/>
      </c>
      <c r="K73" s="5" t="n"/>
      <c r="O73">
        <f>VALUE(LEFT($M73,1))*VALUE(LEFT($N73,1))</f>
        <v/>
      </c>
      <c r="P73">
        <f>IF($O73&gt;=20,"Critical",IF($O73&gt;=15,"High",IF($O73&gt;=10,"Medium",IF($O73&gt;=5,"Low",IF($O73&gt;0,"Very Low","")))))</f>
        <v/>
      </c>
      <c r="S73" s="5" t="n"/>
      <c r="V73" s="5" t="n"/>
      <c r="W73" s="6" t="n"/>
      <c r="X73" s="6" t="n"/>
      <c r="Z73" s="5" t="n"/>
    </row>
    <row r="74">
      <c r="D74" s="5" t="n"/>
      <c r="E74" s="5" t="n"/>
      <c r="F74" s="5" t="n"/>
      <c r="I74">
        <f>VALUE(LEFT($G74,1))*VALUE(LEFT($H74,1))</f>
        <v/>
      </c>
      <c r="J74">
        <f>IF($I74&gt;=20,"Critical",IF($I74&gt;=15,"High",IF($I74&gt;=10,"Medium",IF($I74&gt;=5,"Low",IF($I74&gt;0,"Very Low","")))))</f>
        <v/>
      </c>
      <c r="K74" s="5" t="n"/>
      <c r="O74">
        <f>VALUE(LEFT($M74,1))*VALUE(LEFT($N74,1))</f>
        <v/>
      </c>
      <c r="P74">
        <f>IF($O74&gt;=20,"Critical",IF($O74&gt;=15,"High",IF($O74&gt;=10,"Medium",IF($O74&gt;=5,"Low",IF($O74&gt;0,"Very Low","")))))</f>
        <v/>
      </c>
      <c r="S74" s="5" t="n"/>
      <c r="V74" s="5" t="n"/>
      <c r="W74" s="6" t="n"/>
      <c r="X74" s="6" t="n"/>
      <c r="Z74" s="5" t="n"/>
    </row>
    <row r="75">
      <c r="D75" s="5" t="n"/>
      <c r="E75" s="5" t="n"/>
      <c r="F75" s="5" t="n"/>
      <c r="I75">
        <f>VALUE(LEFT($G75,1))*VALUE(LEFT($H75,1))</f>
        <v/>
      </c>
      <c r="J75">
        <f>IF($I75&gt;=20,"Critical",IF($I75&gt;=15,"High",IF($I75&gt;=10,"Medium",IF($I75&gt;=5,"Low",IF($I75&gt;0,"Very Low","")))))</f>
        <v/>
      </c>
      <c r="K75" s="5" t="n"/>
      <c r="O75">
        <f>VALUE(LEFT($M75,1))*VALUE(LEFT($N75,1))</f>
        <v/>
      </c>
      <c r="P75">
        <f>IF($O75&gt;=20,"Critical",IF($O75&gt;=15,"High",IF($O75&gt;=10,"Medium",IF($O75&gt;=5,"Low",IF($O75&gt;0,"Very Low","")))))</f>
        <v/>
      </c>
      <c r="S75" s="5" t="n"/>
      <c r="V75" s="5" t="n"/>
      <c r="W75" s="6" t="n"/>
      <c r="X75" s="6" t="n"/>
      <c r="Z75" s="5" t="n"/>
    </row>
    <row r="76">
      <c r="D76" s="5" t="n"/>
      <c r="E76" s="5" t="n"/>
      <c r="F76" s="5" t="n"/>
      <c r="I76">
        <f>VALUE(LEFT($G76,1))*VALUE(LEFT($H76,1))</f>
        <v/>
      </c>
      <c r="J76">
        <f>IF($I76&gt;=20,"Critical",IF($I76&gt;=15,"High",IF($I76&gt;=10,"Medium",IF($I76&gt;=5,"Low",IF($I76&gt;0,"Very Low","")))))</f>
        <v/>
      </c>
      <c r="K76" s="5" t="n"/>
      <c r="O76">
        <f>VALUE(LEFT($M76,1))*VALUE(LEFT($N76,1))</f>
        <v/>
      </c>
      <c r="P76">
        <f>IF($O76&gt;=20,"Critical",IF($O76&gt;=15,"High",IF($O76&gt;=10,"Medium",IF($O76&gt;=5,"Low",IF($O76&gt;0,"Very Low","")))))</f>
        <v/>
      </c>
      <c r="S76" s="5" t="n"/>
      <c r="V76" s="5" t="n"/>
      <c r="W76" s="6" t="n"/>
      <c r="X76" s="6" t="n"/>
      <c r="Z76" s="5" t="n"/>
    </row>
    <row r="77">
      <c r="D77" s="5" t="n"/>
      <c r="E77" s="5" t="n"/>
      <c r="F77" s="5" t="n"/>
      <c r="I77">
        <f>VALUE(LEFT($G77,1))*VALUE(LEFT($H77,1))</f>
        <v/>
      </c>
      <c r="J77">
        <f>IF($I77&gt;=20,"Critical",IF($I77&gt;=15,"High",IF($I77&gt;=10,"Medium",IF($I77&gt;=5,"Low",IF($I77&gt;0,"Very Low","")))))</f>
        <v/>
      </c>
      <c r="K77" s="5" t="n"/>
      <c r="O77">
        <f>VALUE(LEFT($M77,1))*VALUE(LEFT($N77,1))</f>
        <v/>
      </c>
      <c r="P77">
        <f>IF($O77&gt;=20,"Critical",IF($O77&gt;=15,"High",IF($O77&gt;=10,"Medium",IF($O77&gt;=5,"Low",IF($O77&gt;0,"Very Low","")))))</f>
        <v/>
      </c>
      <c r="S77" s="5" t="n"/>
      <c r="V77" s="5" t="n"/>
      <c r="W77" s="6" t="n"/>
      <c r="X77" s="6" t="n"/>
      <c r="Z77" s="5" t="n"/>
    </row>
    <row r="78">
      <c r="D78" s="5" t="n"/>
      <c r="E78" s="5" t="n"/>
      <c r="F78" s="5" t="n"/>
      <c r="I78">
        <f>VALUE(LEFT($G78,1))*VALUE(LEFT($H78,1))</f>
        <v/>
      </c>
      <c r="J78">
        <f>IF($I78&gt;=20,"Critical",IF($I78&gt;=15,"High",IF($I78&gt;=10,"Medium",IF($I78&gt;=5,"Low",IF($I78&gt;0,"Very Low","")))))</f>
        <v/>
      </c>
      <c r="K78" s="5" t="n"/>
      <c r="O78">
        <f>VALUE(LEFT($M78,1))*VALUE(LEFT($N78,1))</f>
        <v/>
      </c>
      <c r="P78">
        <f>IF($O78&gt;=20,"Critical",IF($O78&gt;=15,"High",IF($O78&gt;=10,"Medium",IF($O78&gt;=5,"Low",IF($O78&gt;0,"Very Low","")))))</f>
        <v/>
      </c>
      <c r="S78" s="5" t="n"/>
      <c r="V78" s="5" t="n"/>
      <c r="W78" s="6" t="n"/>
      <c r="X78" s="6" t="n"/>
      <c r="Z78" s="5" t="n"/>
    </row>
    <row r="79">
      <c r="D79" s="5" t="n"/>
      <c r="E79" s="5" t="n"/>
      <c r="F79" s="5" t="n"/>
      <c r="I79">
        <f>VALUE(LEFT($G79,1))*VALUE(LEFT($H79,1))</f>
        <v/>
      </c>
      <c r="J79">
        <f>IF($I79&gt;=20,"Critical",IF($I79&gt;=15,"High",IF($I79&gt;=10,"Medium",IF($I79&gt;=5,"Low",IF($I79&gt;0,"Very Low","")))))</f>
        <v/>
      </c>
      <c r="K79" s="5" t="n"/>
      <c r="O79">
        <f>VALUE(LEFT($M79,1))*VALUE(LEFT($N79,1))</f>
        <v/>
      </c>
      <c r="P79">
        <f>IF($O79&gt;=20,"Critical",IF($O79&gt;=15,"High",IF($O79&gt;=10,"Medium",IF($O79&gt;=5,"Low",IF($O79&gt;0,"Very Low","")))))</f>
        <v/>
      </c>
      <c r="S79" s="5" t="n"/>
      <c r="V79" s="5" t="n"/>
      <c r="W79" s="6" t="n"/>
      <c r="X79" s="6" t="n"/>
      <c r="Z79" s="5" t="n"/>
    </row>
    <row r="80">
      <c r="D80" s="5" t="n"/>
      <c r="E80" s="5" t="n"/>
      <c r="F80" s="5" t="n"/>
      <c r="I80">
        <f>VALUE(LEFT($G80,1))*VALUE(LEFT($H80,1))</f>
        <v/>
      </c>
      <c r="J80">
        <f>IF($I80&gt;=20,"Critical",IF($I80&gt;=15,"High",IF($I80&gt;=10,"Medium",IF($I80&gt;=5,"Low",IF($I80&gt;0,"Very Low","")))))</f>
        <v/>
      </c>
      <c r="K80" s="5" t="n"/>
      <c r="O80">
        <f>VALUE(LEFT($M80,1))*VALUE(LEFT($N80,1))</f>
        <v/>
      </c>
      <c r="P80">
        <f>IF($O80&gt;=20,"Critical",IF($O80&gt;=15,"High",IF($O80&gt;=10,"Medium",IF($O80&gt;=5,"Low",IF($O80&gt;0,"Very Low","")))))</f>
        <v/>
      </c>
      <c r="S80" s="5" t="n"/>
      <c r="V80" s="5" t="n"/>
      <c r="W80" s="6" t="n"/>
      <c r="X80" s="6" t="n"/>
      <c r="Z80" s="5" t="n"/>
    </row>
    <row r="81">
      <c r="D81" s="5" t="n"/>
      <c r="E81" s="5" t="n"/>
      <c r="F81" s="5" t="n"/>
      <c r="I81">
        <f>VALUE(LEFT($G81,1))*VALUE(LEFT($H81,1))</f>
        <v/>
      </c>
      <c r="J81">
        <f>IF($I81&gt;=20,"Critical",IF($I81&gt;=15,"High",IF($I81&gt;=10,"Medium",IF($I81&gt;=5,"Low",IF($I81&gt;0,"Very Low","")))))</f>
        <v/>
      </c>
      <c r="K81" s="5" t="n"/>
      <c r="O81">
        <f>VALUE(LEFT($M81,1))*VALUE(LEFT($N81,1))</f>
        <v/>
      </c>
      <c r="P81">
        <f>IF($O81&gt;=20,"Critical",IF($O81&gt;=15,"High",IF($O81&gt;=10,"Medium",IF($O81&gt;=5,"Low",IF($O81&gt;0,"Very Low","")))))</f>
        <v/>
      </c>
      <c r="S81" s="5" t="n"/>
      <c r="V81" s="5" t="n"/>
      <c r="W81" s="6" t="n"/>
      <c r="X81" s="6" t="n"/>
      <c r="Z81" s="5" t="n"/>
    </row>
    <row r="82">
      <c r="D82" s="5" t="n"/>
      <c r="E82" s="5" t="n"/>
      <c r="F82" s="5" t="n"/>
      <c r="I82">
        <f>VALUE(LEFT($G82,1))*VALUE(LEFT($H82,1))</f>
        <v/>
      </c>
      <c r="J82">
        <f>IF($I82&gt;=20,"Critical",IF($I82&gt;=15,"High",IF($I82&gt;=10,"Medium",IF($I82&gt;=5,"Low",IF($I82&gt;0,"Very Low","")))))</f>
        <v/>
      </c>
      <c r="K82" s="5" t="n"/>
      <c r="O82">
        <f>VALUE(LEFT($M82,1))*VALUE(LEFT($N82,1))</f>
        <v/>
      </c>
      <c r="P82">
        <f>IF($O82&gt;=20,"Critical",IF($O82&gt;=15,"High",IF($O82&gt;=10,"Medium",IF($O82&gt;=5,"Low",IF($O82&gt;0,"Very Low","")))))</f>
        <v/>
      </c>
      <c r="S82" s="5" t="n"/>
      <c r="V82" s="5" t="n"/>
      <c r="W82" s="6" t="n"/>
      <c r="X82" s="6" t="n"/>
      <c r="Z82" s="5" t="n"/>
    </row>
    <row r="83">
      <c r="D83" s="5" t="n"/>
      <c r="E83" s="5" t="n"/>
      <c r="F83" s="5" t="n"/>
      <c r="I83">
        <f>VALUE(LEFT($G83,1))*VALUE(LEFT($H83,1))</f>
        <v/>
      </c>
      <c r="J83">
        <f>IF($I83&gt;=20,"Critical",IF($I83&gt;=15,"High",IF($I83&gt;=10,"Medium",IF($I83&gt;=5,"Low",IF($I83&gt;0,"Very Low","")))))</f>
        <v/>
      </c>
      <c r="K83" s="5" t="n"/>
      <c r="O83">
        <f>VALUE(LEFT($M83,1))*VALUE(LEFT($N83,1))</f>
        <v/>
      </c>
      <c r="P83">
        <f>IF($O83&gt;=20,"Critical",IF($O83&gt;=15,"High",IF($O83&gt;=10,"Medium",IF($O83&gt;=5,"Low",IF($O83&gt;0,"Very Low","")))))</f>
        <v/>
      </c>
      <c r="S83" s="5" t="n"/>
      <c r="V83" s="5" t="n"/>
      <c r="W83" s="6" t="n"/>
      <c r="X83" s="6" t="n"/>
      <c r="Z83" s="5" t="n"/>
    </row>
    <row r="84">
      <c r="D84" s="5" t="n"/>
      <c r="E84" s="5" t="n"/>
      <c r="F84" s="5" t="n"/>
      <c r="I84">
        <f>VALUE(LEFT($G84,1))*VALUE(LEFT($H84,1))</f>
        <v/>
      </c>
      <c r="J84">
        <f>IF($I84&gt;=20,"Critical",IF($I84&gt;=15,"High",IF($I84&gt;=10,"Medium",IF($I84&gt;=5,"Low",IF($I84&gt;0,"Very Low","")))))</f>
        <v/>
      </c>
      <c r="K84" s="5" t="n"/>
      <c r="O84">
        <f>VALUE(LEFT($M84,1))*VALUE(LEFT($N84,1))</f>
        <v/>
      </c>
      <c r="P84">
        <f>IF($O84&gt;=20,"Critical",IF($O84&gt;=15,"High",IF($O84&gt;=10,"Medium",IF($O84&gt;=5,"Low",IF($O84&gt;0,"Very Low","")))))</f>
        <v/>
      </c>
      <c r="S84" s="5" t="n"/>
      <c r="V84" s="5" t="n"/>
      <c r="W84" s="6" t="n"/>
      <c r="X84" s="6" t="n"/>
      <c r="Z84" s="5" t="n"/>
    </row>
    <row r="85">
      <c r="D85" s="5" t="n"/>
      <c r="E85" s="5" t="n"/>
      <c r="F85" s="5" t="n"/>
      <c r="I85">
        <f>VALUE(LEFT($G85,1))*VALUE(LEFT($H85,1))</f>
        <v/>
      </c>
      <c r="J85">
        <f>IF($I85&gt;=20,"Critical",IF($I85&gt;=15,"High",IF($I85&gt;=10,"Medium",IF($I85&gt;=5,"Low",IF($I85&gt;0,"Very Low","")))))</f>
        <v/>
      </c>
      <c r="K85" s="5" t="n"/>
      <c r="O85">
        <f>VALUE(LEFT($M85,1))*VALUE(LEFT($N85,1))</f>
        <v/>
      </c>
      <c r="P85">
        <f>IF($O85&gt;=20,"Critical",IF($O85&gt;=15,"High",IF($O85&gt;=10,"Medium",IF($O85&gt;=5,"Low",IF($O85&gt;0,"Very Low","")))))</f>
        <v/>
      </c>
      <c r="S85" s="5" t="n"/>
      <c r="V85" s="5" t="n"/>
      <c r="W85" s="6" t="n"/>
      <c r="X85" s="6" t="n"/>
      <c r="Z85" s="5" t="n"/>
    </row>
    <row r="86">
      <c r="D86" s="5" t="n"/>
      <c r="E86" s="5" t="n"/>
      <c r="F86" s="5" t="n"/>
      <c r="I86">
        <f>VALUE(LEFT($G86,1))*VALUE(LEFT($H86,1))</f>
        <v/>
      </c>
      <c r="J86">
        <f>IF($I86&gt;=20,"Critical",IF($I86&gt;=15,"High",IF($I86&gt;=10,"Medium",IF($I86&gt;=5,"Low",IF($I86&gt;0,"Very Low","")))))</f>
        <v/>
      </c>
      <c r="K86" s="5" t="n"/>
      <c r="O86">
        <f>VALUE(LEFT($M86,1))*VALUE(LEFT($N86,1))</f>
        <v/>
      </c>
      <c r="P86">
        <f>IF($O86&gt;=20,"Critical",IF($O86&gt;=15,"High",IF($O86&gt;=10,"Medium",IF($O86&gt;=5,"Low",IF($O86&gt;0,"Very Low","")))))</f>
        <v/>
      </c>
      <c r="S86" s="5" t="n"/>
      <c r="V86" s="5" t="n"/>
      <c r="W86" s="6" t="n"/>
      <c r="X86" s="6" t="n"/>
      <c r="Z86" s="5" t="n"/>
    </row>
    <row r="87">
      <c r="D87" s="5" t="n"/>
      <c r="E87" s="5" t="n"/>
      <c r="F87" s="5" t="n"/>
      <c r="I87">
        <f>VALUE(LEFT($G87,1))*VALUE(LEFT($H87,1))</f>
        <v/>
      </c>
      <c r="J87">
        <f>IF($I87&gt;=20,"Critical",IF($I87&gt;=15,"High",IF($I87&gt;=10,"Medium",IF($I87&gt;=5,"Low",IF($I87&gt;0,"Very Low","")))))</f>
        <v/>
      </c>
      <c r="K87" s="5" t="n"/>
      <c r="O87">
        <f>VALUE(LEFT($M87,1))*VALUE(LEFT($N87,1))</f>
        <v/>
      </c>
      <c r="P87">
        <f>IF($O87&gt;=20,"Critical",IF($O87&gt;=15,"High",IF($O87&gt;=10,"Medium",IF($O87&gt;=5,"Low",IF($O87&gt;0,"Very Low","")))))</f>
        <v/>
      </c>
      <c r="S87" s="5" t="n"/>
      <c r="V87" s="5" t="n"/>
      <c r="W87" s="6" t="n"/>
      <c r="X87" s="6" t="n"/>
      <c r="Z87" s="5" t="n"/>
    </row>
    <row r="88">
      <c r="D88" s="5" t="n"/>
      <c r="E88" s="5" t="n"/>
      <c r="F88" s="5" t="n"/>
      <c r="I88">
        <f>VALUE(LEFT($G88,1))*VALUE(LEFT($H88,1))</f>
        <v/>
      </c>
      <c r="J88">
        <f>IF($I88&gt;=20,"Critical",IF($I88&gt;=15,"High",IF($I88&gt;=10,"Medium",IF($I88&gt;=5,"Low",IF($I88&gt;0,"Very Low","")))))</f>
        <v/>
      </c>
      <c r="K88" s="5" t="n"/>
      <c r="O88">
        <f>VALUE(LEFT($M88,1))*VALUE(LEFT($N88,1))</f>
        <v/>
      </c>
      <c r="P88">
        <f>IF($O88&gt;=20,"Critical",IF($O88&gt;=15,"High",IF($O88&gt;=10,"Medium",IF($O88&gt;=5,"Low",IF($O88&gt;0,"Very Low","")))))</f>
        <v/>
      </c>
      <c r="S88" s="5" t="n"/>
      <c r="V88" s="5" t="n"/>
      <c r="W88" s="6" t="n"/>
      <c r="X88" s="6" t="n"/>
      <c r="Z88" s="5" t="n"/>
    </row>
    <row r="89">
      <c r="D89" s="5" t="n"/>
      <c r="E89" s="5" t="n"/>
      <c r="F89" s="5" t="n"/>
      <c r="I89">
        <f>VALUE(LEFT($G89,1))*VALUE(LEFT($H89,1))</f>
        <v/>
      </c>
      <c r="J89">
        <f>IF($I89&gt;=20,"Critical",IF($I89&gt;=15,"High",IF($I89&gt;=10,"Medium",IF($I89&gt;=5,"Low",IF($I89&gt;0,"Very Low","")))))</f>
        <v/>
      </c>
      <c r="K89" s="5" t="n"/>
      <c r="O89">
        <f>VALUE(LEFT($M89,1))*VALUE(LEFT($N89,1))</f>
        <v/>
      </c>
      <c r="P89">
        <f>IF($O89&gt;=20,"Critical",IF($O89&gt;=15,"High",IF($O89&gt;=10,"Medium",IF($O89&gt;=5,"Low",IF($O89&gt;0,"Very Low","")))))</f>
        <v/>
      </c>
      <c r="S89" s="5" t="n"/>
      <c r="V89" s="5" t="n"/>
      <c r="W89" s="6" t="n"/>
      <c r="X89" s="6" t="n"/>
      <c r="Z89" s="5" t="n"/>
    </row>
    <row r="90">
      <c r="D90" s="5" t="n"/>
      <c r="E90" s="5" t="n"/>
      <c r="F90" s="5" t="n"/>
      <c r="I90">
        <f>VALUE(LEFT($G90,1))*VALUE(LEFT($H90,1))</f>
        <v/>
      </c>
      <c r="J90">
        <f>IF($I90&gt;=20,"Critical",IF($I90&gt;=15,"High",IF($I90&gt;=10,"Medium",IF($I90&gt;=5,"Low",IF($I90&gt;0,"Very Low","")))))</f>
        <v/>
      </c>
      <c r="K90" s="5" t="n"/>
      <c r="O90">
        <f>VALUE(LEFT($M90,1))*VALUE(LEFT($N90,1))</f>
        <v/>
      </c>
      <c r="P90">
        <f>IF($O90&gt;=20,"Critical",IF($O90&gt;=15,"High",IF($O90&gt;=10,"Medium",IF($O90&gt;=5,"Low",IF($O90&gt;0,"Very Low","")))))</f>
        <v/>
      </c>
      <c r="S90" s="5" t="n"/>
      <c r="V90" s="5" t="n"/>
      <c r="W90" s="6" t="n"/>
      <c r="X90" s="6" t="n"/>
      <c r="Z90" s="5" t="n"/>
    </row>
    <row r="91">
      <c r="D91" s="5" t="n"/>
      <c r="E91" s="5" t="n"/>
      <c r="F91" s="5" t="n"/>
      <c r="I91">
        <f>VALUE(LEFT($G91,1))*VALUE(LEFT($H91,1))</f>
        <v/>
      </c>
      <c r="J91">
        <f>IF($I91&gt;=20,"Critical",IF($I91&gt;=15,"High",IF($I91&gt;=10,"Medium",IF($I91&gt;=5,"Low",IF($I91&gt;0,"Very Low","")))))</f>
        <v/>
      </c>
      <c r="K91" s="5" t="n"/>
      <c r="O91">
        <f>VALUE(LEFT($M91,1))*VALUE(LEFT($N91,1))</f>
        <v/>
      </c>
      <c r="P91">
        <f>IF($O91&gt;=20,"Critical",IF($O91&gt;=15,"High",IF($O91&gt;=10,"Medium",IF($O91&gt;=5,"Low",IF($O91&gt;0,"Very Low","")))))</f>
        <v/>
      </c>
      <c r="S91" s="5" t="n"/>
      <c r="V91" s="5" t="n"/>
      <c r="W91" s="6" t="n"/>
      <c r="X91" s="6" t="n"/>
      <c r="Z91" s="5" t="n"/>
    </row>
    <row r="92">
      <c r="D92" s="5" t="n"/>
      <c r="E92" s="5" t="n"/>
      <c r="F92" s="5" t="n"/>
      <c r="I92">
        <f>VALUE(LEFT($G92,1))*VALUE(LEFT($H92,1))</f>
        <v/>
      </c>
      <c r="J92">
        <f>IF($I92&gt;=20,"Critical",IF($I92&gt;=15,"High",IF($I92&gt;=10,"Medium",IF($I92&gt;=5,"Low",IF($I92&gt;0,"Very Low","")))))</f>
        <v/>
      </c>
      <c r="K92" s="5" t="n"/>
      <c r="O92">
        <f>VALUE(LEFT($M92,1))*VALUE(LEFT($N92,1))</f>
        <v/>
      </c>
      <c r="P92">
        <f>IF($O92&gt;=20,"Critical",IF($O92&gt;=15,"High",IF($O92&gt;=10,"Medium",IF($O92&gt;=5,"Low",IF($O92&gt;0,"Very Low","")))))</f>
        <v/>
      </c>
      <c r="S92" s="5" t="n"/>
      <c r="V92" s="5" t="n"/>
      <c r="W92" s="6" t="n"/>
      <c r="X92" s="6" t="n"/>
      <c r="Z92" s="5" t="n"/>
    </row>
    <row r="93">
      <c r="D93" s="5" t="n"/>
      <c r="E93" s="5" t="n"/>
      <c r="F93" s="5" t="n"/>
      <c r="I93">
        <f>VALUE(LEFT($G93,1))*VALUE(LEFT($H93,1))</f>
        <v/>
      </c>
      <c r="J93">
        <f>IF($I93&gt;=20,"Critical",IF($I93&gt;=15,"High",IF($I93&gt;=10,"Medium",IF($I93&gt;=5,"Low",IF($I93&gt;0,"Very Low","")))))</f>
        <v/>
      </c>
      <c r="K93" s="5" t="n"/>
      <c r="O93">
        <f>VALUE(LEFT($M93,1))*VALUE(LEFT($N93,1))</f>
        <v/>
      </c>
      <c r="P93">
        <f>IF($O93&gt;=20,"Critical",IF($O93&gt;=15,"High",IF($O93&gt;=10,"Medium",IF($O93&gt;=5,"Low",IF($O93&gt;0,"Very Low","")))))</f>
        <v/>
      </c>
      <c r="S93" s="5" t="n"/>
      <c r="V93" s="5" t="n"/>
      <c r="W93" s="6" t="n"/>
      <c r="X93" s="6" t="n"/>
      <c r="Z93" s="5" t="n"/>
    </row>
    <row r="94">
      <c r="D94" s="5" t="n"/>
      <c r="E94" s="5" t="n"/>
      <c r="F94" s="5" t="n"/>
      <c r="I94">
        <f>VALUE(LEFT($G94,1))*VALUE(LEFT($H94,1))</f>
        <v/>
      </c>
      <c r="J94">
        <f>IF($I94&gt;=20,"Critical",IF($I94&gt;=15,"High",IF($I94&gt;=10,"Medium",IF($I94&gt;=5,"Low",IF($I94&gt;0,"Very Low","")))))</f>
        <v/>
      </c>
      <c r="K94" s="5" t="n"/>
      <c r="O94">
        <f>VALUE(LEFT($M94,1))*VALUE(LEFT($N94,1))</f>
        <v/>
      </c>
      <c r="P94">
        <f>IF($O94&gt;=20,"Critical",IF($O94&gt;=15,"High",IF($O94&gt;=10,"Medium",IF($O94&gt;=5,"Low",IF($O94&gt;0,"Very Low","")))))</f>
        <v/>
      </c>
      <c r="S94" s="5" t="n"/>
      <c r="V94" s="5" t="n"/>
      <c r="W94" s="6" t="n"/>
      <c r="X94" s="6" t="n"/>
      <c r="Z94" s="5" t="n"/>
    </row>
    <row r="95">
      <c r="D95" s="5" t="n"/>
      <c r="E95" s="5" t="n"/>
      <c r="F95" s="5" t="n"/>
      <c r="I95">
        <f>VALUE(LEFT($G95,1))*VALUE(LEFT($H95,1))</f>
        <v/>
      </c>
      <c r="J95">
        <f>IF($I95&gt;=20,"Critical",IF($I95&gt;=15,"High",IF($I95&gt;=10,"Medium",IF($I95&gt;=5,"Low",IF($I95&gt;0,"Very Low","")))))</f>
        <v/>
      </c>
      <c r="K95" s="5" t="n"/>
      <c r="O95">
        <f>VALUE(LEFT($M95,1))*VALUE(LEFT($N95,1))</f>
        <v/>
      </c>
      <c r="P95">
        <f>IF($O95&gt;=20,"Critical",IF($O95&gt;=15,"High",IF($O95&gt;=10,"Medium",IF($O95&gt;=5,"Low",IF($O95&gt;0,"Very Low","")))))</f>
        <v/>
      </c>
      <c r="S95" s="5" t="n"/>
      <c r="V95" s="5" t="n"/>
      <c r="W95" s="6" t="n"/>
      <c r="X95" s="6" t="n"/>
      <c r="Z95" s="5" t="n"/>
    </row>
    <row r="96">
      <c r="D96" s="5" t="n"/>
      <c r="E96" s="5" t="n"/>
      <c r="F96" s="5" t="n"/>
      <c r="I96">
        <f>VALUE(LEFT($G96,1))*VALUE(LEFT($H96,1))</f>
        <v/>
      </c>
      <c r="J96">
        <f>IF($I96&gt;=20,"Critical",IF($I96&gt;=15,"High",IF($I96&gt;=10,"Medium",IF($I96&gt;=5,"Low",IF($I96&gt;0,"Very Low","")))))</f>
        <v/>
      </c>
      <c r="K96" s="5" t="n"/>
      <c r="O96">
        <f>VALUE(LEFT($M96,1))*VALUE(LEFT($N96,1))</f>
        <v/>
      </c>
      <c r="P96">
        <f>IF($O96&gt;=20,"Critical",IF($O96&gt;=15,"High",IF($O96&gt;=10,"Medium",IF($O96&gt;=5,"Low",IF($O96&gt;0,"Very Low","")))))</f>
        <v/>
      </c>
      <c r="S96" s="5" t="n"/>
      <c r="V96" s="5" t="n"/>
      <c r="W96" s="6" t="n"/>
      <c r="X96" s="6" t="n"/>
      <c r="Z96" s="5" t="n"/>
    </row>
    <row r="97">
      <c r="D97" s="5" t="n"/>
      <c r="E97" s="5" t="n"/>
      <c r="F97" s="5" t="n"/>
      <c r="I97">
        <f>VALUE(LEFT($G97,1))*VALUE(LEFT($H97,1))</f>
        <v/>
      </c>
      <c r="J97">
        <f>IF($I97&gt;=20,"Critical",IF($I97&gt;=15,"High",IF($I97&gt;=10,"Medium",IF($I97&gt;=5,"Low",IF($I97&gt;0,"Very Low","")))))</f>
        <v/>
      </c>
      <c r="K97" s="5" t="n"/>
      <c r="O97">
        <f>VALUE(LEFT($M97,1))*VALUE(LEFT($N97,1))</f>
        <v/>
      </c>
      <c r="P97">
        <f>IF($O97&gt;=20,"Critical",IF($O97&gt;=15,"High",IF($O97&gt;=10,"Medium",IF($O97&gt;=5,"Low",IF($O97&gt;0,"Very Low","")))))</f>
        <v/>
      </c>
      <c r="S97" s="5" t="n"/>
      <c r="V97" s="5" t="n"/>
      <c r="W97" s="6" t="n"/>
      <c r="X97" s="6" t="n"/>
      <c r="Z97" s="5" t="n"/>
    </row>
    <row r="98">
      <c r="D98" s="5" t="n"/>
      <c r="E98" s="5" t="n"/>
      <c r="F98" s="5" t="n"/>
      <c r="I98">
        <f>VALUE(LEFT($G98,1))*VALUE(LEFT($H98,1))</f>
        <v/>
      </c>
      <c r="J98">
        <f>IF($I98&gt;=20,"Critical",IF($I98&gt;=15,"High",IF($I98&gt;=10,"Medium",IF($I98&gt;=5,"Low",IF($I98&gt;0,"Very Low","")))))</f>
        <v/>
      </c>
      <c r="K98" s="5" t="n"/>
      <c r="O98">
        <f>VALUE(LEFT($M98,1))*VALUE(LEFT($N98,1))</f>
        <v/>
      </c>
      <c r="P98">
        <f>IF($O98&gt;=20,"Critical",IF($O98&gt;=15,"High",IF($O98&gt;=10,"Medium",IF($O98&gt;=5,"Low",IF($O98&gt;0,"Very Low","")))))</f>
        <v/>
      </c>
      <c r="S98" s="5" t="n"/>
      <c r="V98" s="5" t="n"/>
      <c r="W98" s="6" t="n"/>
      <c r="X98" s="6" t="n"/>
      <c r="Z98" s="5" t="n"/>
    </row>
    <row r="99">
      <c r="D99" s="5" t="n"/>
      <c r="E99" s="5" t="n"/>
      <c r="F99" s="5" t="n"/>
      <c r="I99">
        <f>VALUE(LEFT($G99,1))*VALUE(LEFT($H99,1))</f>
        <v/>
      </c>
      <c r="J99">
        <f>IF($I99&gt;=20,"Critical",IF($I99&gt;=15,"High",IF($I99&gt;=10,"Medium",IF($I99&gt;=5,"Low",IF($I99&gt;0,"Very Low","")))))</f>
        <v/>
      </c>
      <c r="K99" s="5" t="n"/>
      <c r="O99">
        <f>VALUE(LEFT($M99,1))*VALUE(LEFT($N99,1))</f>
        <v/>
      </c>
      <c r="P99">
        <f>IF($O99&gt;=20,"Critical",IF($O99&gt;=15,"High",IF($O99&gt;=10,"Medium",IF($O99&gt;=5,"Low",IF($O99&gt;0,"Very Low","")))))</f>
        <v/>
      </c>
      <c r="S99" s="5" t="n"/>
      <c r="V99" s="5" t="n"/>
      <c r="W99" s="6" t="n"/>
      <c r="X99" s="6" t="n"/>
      <c r="Z99" s="5" t="n"/>
    </row>
    <row r="100">
      <c r="D100" s="5" t="n"/>
      <c r="E100" s="5" t="n"/>
      <c r="F100" s="5" t="n"/>
      <c r="I100">
        <f>VALUE(LEFT($G100,1))*VALUE(LEFT($H100,1))</f>
        <v/>
      </c>
      <c r="J100">
        <f>IF($I100&gt;=20,"Critical",IF($I100&gt;=15,"High",IF($I100&gt;=10,"Medium",IF($I100&gt;=5,"Low",IF($I100&gt;0,"Very Low","")))))</f>
        <v/>
      </c>
      <c r="K100" s="5" t="n"/>
      <c r="O100">
        <f>VALUE(LEFT($M100,1))*VALUE(LEFT($N100,1))</f>
        <v/>
      </c>
      <c r="P100">
        <f>IF($O100&gt;=20,"Critical",IF($O100&gt;=15,"High",IF($O100&gt;=10,"Medium",IF($O100&gt;=5,"Low",IF($O100&gt;0,"Very Low","")))))</f>
        <v/>
      </c>
      <c r="S100" s="5" t="n"/>
      <c r="V100" s="5" t="n"/>
      <c r="W100" s="6" t="n"/>
      <c r="X100" s="6" t="n"/>
      <c r="Z100" s="5" t="n"/>
    </row>
    <row r="101">
      <c r="D101" s="5" t="n"/>
      <c r="E101" s="5" t="n"/>
      <c r="F101" s="5" t="n"/>
      <c r="I101">
        <f>VALUE(LEFT($G101,1))*VALUE(LEFT($H101,1))</f>
        <v/>
      </c>
      <c r="J101">
        <f>IF($I101&gt;=20,"Critical",IF($I101&gt;=15,"High",IF($I101&gt;=10,"Medium",IF($I101&gt;=5,"Low",IF($I101&gt;0,"Very Low","")))))</f>
        <v/>
      </c>
      <c r="K101" s="5" t="n"/>
      <c r="O101">
        <f>VALUE(LEFT($M101,1))*VALUE(LEFT($N101,1))</f>
        <v/>
      </c>
      <c r="P101">
        <f>IF($O101&gt;=20,"Critical",IF($O101&gt;=15,"High",IF($O101&gt;=10,"Medium",IF($O101&gt;=5,"Low",IF($O101&gt;0,"Very Low","")))))</f>
        <v/>
      </c>
      <c r="S101" s="5" t="n"/>
      <c r="V101" s="5" t="n"/>
      <c r="W101" s="6" t="n"/>
      <c r="X101" s="6" t="n"/>
      <c r="Z101" s="5" t="n"/>
    </row>
    <row r="102">
      <c r="D102" s="5" t="n"/>
      <c r="E102" s="5" t="n"/>
      <c r="F102" s="5" t="n"/>
      <c r="I102">
        <f>VALUE(LEFT($G102,1))*VALUE(LEFT($H102,1))</f>
        <v/>
      </c>
      <c r="J102">
        <f>IF($I102&gt;=20,"Critical",IF($I102&gt;=15,"High",IF($I102&gt;=10,"Medium",IF($I102&gt;=5,"Low",IF($I102&gt;0,"Very Low","")))))</f>
        <v/>
      </c>
      <c r="K102" s="5" t="n"/>
      <c r="O102">
        <f>VALUE(LEFT($M102,1))*VALUE(LEFT($N102,1))</f>
        <v/>
      </c>
      <c r="P102">
        <f>IF($O102&gt;=20,"Critical",IF($O102&gt;=15,"High",IF($O102&gt;=10,"Medium",IF($O102&gt;=5,"Low",IF($O102&gt;0,"Very Low","")))))</f>
        <v/>
      </c>
      <c r="S102" s="5" t="n"/>
      <c r="V102" s="5" t="n"/>
      <c r="W102" s="6" t="n"/>
      <c r="X102" s="6" t="n"/>
      <c r="Z102" s="5" t="n"/>
    </row>
    <row r="103">
      <c r="D103" s="5" t="n"/>
      <c r="E103" s="5" t="n"/>
      <c r="F103" s="5" t="n"/>
      <c r="I103">
        <f>VALUE(LEFT($G103,1))*VALUE(LEFT($H103,1))</f>
        <v/>
      </c>
      <c r="J103">
        <f>IF($I103&gt;=20,"Critical",IF($I103&gt;=15,"High",IF($I103&gt;=10,"Medium",IF($I103&gt;=5,"Low",IF($I103&gt;0,"Very Low","")))))</f>
        <v/>
      </c>
      <c r="K103" s="5" t="n"/>
      <c r="O103">
        <f>VALUE(LEFT($M103,1))*VALUE(LEFT($N103,1))</f>
        <v/>
      </c>
      <c r="P103">
        <f>IF($O103&gt;=20,"Critical",IF($O103&gt;=15,"High",IF($O103&gt;=10,"Medium",IF($O103&gt;=5,"Low",IF($O103&gt;0,"Very Low","")))))</f>
        <v/>
      </c>
      <c r="S103" s="5" t="n"/>
      <c r="V103" s="5" t="n"/>
      <c r="W103" s="6" t="n"/>
      <c r="X103" s="6" t="n"/>
      <c r="Z103" s="5" t="n"/>
    </row>
    <row r="104">
      <c r="D104" s="5" t="n"/>
      <c r="E104" s="5" t="n"/>
      <c r="F104" s="5" t="n"/>
      <c r="I104">
        <f>VALUE(LEFT($G104,1))*VALUE(LEFT($H104,1))</f>
        <v/>
      </c>
      <c r="J104">
        <f>IF($I104&gt;=20,"Critical",IF($I104&gt;=15,"High",IF($I104&gt;=10,"Medium",IF($I104&gt;=5,"Low",IF($I104&gt;0,"Very Low","")))))</f>
        <v/>
      </c>
      <c r="K104" s="5" t="n"/>
      <c r="O104">
        <f>VALUE(LEFT($M104,1))*VALUE(LEFT($N104,1))</f>
        <v/>
      </c>
      <c r="P104">
        <f>IF($O104&gt;=20,"Critical",IF($O104&gt;=15,"High",IF($O104&gt;=10,"Medium",IF($O104&gt;=5,"Low",IF($O104&gt;0,"Very Low","")))))</f>
        <v/>
      </c>
      <c r="S104" s="5" t="n"/>
      <c r="V104" s="5" t="n"/>
      <c r="W104" s="6" t="n"/>
      <c r="X104" s="6" t="n"/>
      <c r="Z104" s="5" t="n"/>
    </row>
    <row r="105">
      <c r="D105" s="5" t="n"/>
      <c r="E105" s="5" t="n"/>
      <c r="F105" s="5" t="n"/>
      <c r="I105">
        <f>VALUE(LEFT($G105,1))*VALUE(LEFT($H105,1))</f>
        <v/>
      </c>
      <c r="J105">
        <f>IF($I105&gt;=20,"Critical",IF($I105&gt;=15,"High",IF($I105&gt;=10,"Medium",IF($I105&gt;=5,"Low",IF($I105&gt;0,"Very Low","")))))</f>
        <v/>
      </c>
      <c r="K105" s="5" t="n"/>
      <c r="O105">
        <f>VALUE(LEFT($M105,1))*VALUE(LEFT($N105,1))</f>
        <v/>
      </c>
      <c r="P105">
        <f>IF($O105&gt;=20,"Critical",IF($O105&gt;=15,"High",IF($O105&gt;=10,"Medium",IF($O105&gt;=5,"Low",IF($O105&gt;0,"Very Low","")))))</f>
        <v/>
      </c>
      <c r="S105" s="5" t="n"/>
      <c r="V105" s="5" t="n"/>
      <c r="W105" s="6" t="n"/>
      <c r="X105" s="6" t="n"/>
      <c r="Z105" s="5" t="n"/>
    </row>
    <row r="106">
      <c r="D106" s="5" t="n"/>
      <c r="E106" s="5" t="n"/>
      <c r="F106" s="5" t="n"/>
      <c r="I106">
        <f>VALUE(LEFT($G106,1))*VALUE(LEFT($H106,1))</f>
        <v/>
      </c>
      <c r="J106">
        <f>IF($I106&gt;=20,"Critical",IF($I106&gt;=15,"High",IF($I106&gt;=10,"Medium",IF($I106&gt;=5,"Low",IF($I106&gt;0,"Very Low","")))))</f>
        <v/>
      </c>
      <c r="K106" s="5" t="n"/>
      <c r="O106">
        <f>VALUE(LEFT($M106,1))*VALUE(LEFT($N106,1))</f>
        <v/>
      </c>
      <c r="P106">
        <f>IF($O106&gt;=20,"Critical",IF($O106&gt;=15,"High",IF($O106&gt;=10,"Medium",IF($O106&gt;=5,"Low",IF($O106&gt;0,"Very Low","")))))</f>
        <v/>
      </c>
      <c r="S106" s="5" t="n"/>
      <c r="V106" s="5" t="n"/>
      <c r="W106" s="6" t="n"/>
      <c r="X106" s="6" t="n"/>
      <c r="Z106" s="5" t="n"/>
    </row>
    <row r="107">
      <c r="D107" s="5" t="n"/>
      <c r="E107" s="5" t="n"/>
      <c r="F107" s="5" t="n"/>
      <c r="I107">
        <f>VALUE(LEFT($G107,1))*VALUE(LEFT($H107,1))</f>
        <v/>
      </c>
      <c r="J107">
        <f>IF($I107&gt;=20,"Critical",IF($I107&gt;=15,"High",IF($I107&gt;=10,"Medium",IF($I107&gt;=5,"Low",IF($I107&gt;0,"Very Low","")))))</f>
        <v/>
      </c>
      <c r="K107" s="5" t="n"/>
      <c r="O107">
        <f>VALUE(LEFT($M107,1))*VALUE(LEFT($N107,1))</f>
        <v/>
      </c>
      <c r="P107">
        <f>IF($O107&gt;=20,"Critical",IF($O107&gt;=15,"High",IF($O107&gt;=10,"Medium",IF($O107&gt;=5,"Low",IF($O107&gt;0,"Very Low","")))))</f>
        <v/>
      </c>
      <c r="S107" s="5" t="n"/>
      <c r="V107" s="5" t="n"/>
      <c r="W107" s="6" t="n"/>
      <c r="X107" s="6" t="n"/>
      <c r="Z107" s="5" t="n"/>
    </row>
    <row r="108">
      <c r="D108" s="5" t="n"/>
      <c r="E108" s="5" t="n"/>
      <c r="F108" s="5" t="n"/>
      <c r="I108">
        <f>VALUE(LEFT($G108,1))*VALUE(LEFT($H108,1))</f>
        <v/>
      </c>
      <c r="J108">
        <f>IF($I108&gt;=20,"Critical",IF($I108&gt;=15,"High",IF($I108&gt;=10,"Medium",IF($I108&gt;=5,"Low",IF($I108&gt;0,"Very Low","")))))</f>
        <v/>
      </c>
      <c r="K108" s="5" t="n"/>
      <c r="O108">
        <f>VALUE(LEFT($M108,1))*VALUE(LEFT($N108,1))</f>
        <v/>
      </c>
      <c r="P108">
        <f>IF($O108&gt;=20,"Critical",IF($O108&gt;=15,"High",IF($O108&gt;=10,"Medium",IF($O108&gt;=5,"Low",IF($O108&gt;0,"Very Low","")))))</f>
        <v/>
      </c>
      <c r="S108" s="5" t="n"/>
      <c r="V108" s="5" t="n"/>
      <c r="W108" s="6" t="n"/>
      <c r="X108" s="6" t="n"/>
      <c r="Z108" s="5" t="n"/>
    </row>
    <row r="109">
      <c r="D109" s="5" t="n"/>
      <c r="E109" s="5" t="n"/>
      <c r="F109" s="5" t="n"/>
      <c r="I109">
        <f>VALUE(LEFT($G109,1))*VALUE(LEFT($H109,1))</f>
        <v/>
      </c>
      <c r="J109">
        <f>IF($I109&gt;=20,"Critical",IF($I109&gt;=15,"High",IF($I109&gt;=10,"Medium",IF($I109&gt;=5,"Low",IF($I109&gt;0,"Very Low","")))))</f>
        <v/>
      </c>
      <c r="K109" s="5" t="n"/>
      <c r="O109">
        <f>VALUE(LEFT($M109,1))*VALUE(LEFT($N109,1))</f>
        <v/>
      </c>
      <c r="P109">
        <f>IF($O109&gt;=20,"Critical",IF($O109&gt;=15,"High",IF($O109&gt;=10,"Medium",IF($O109&gt;=5,"Low",IF($O109&gt;0,"Very Low","")))))</f>
        <v/>
      </c>
      <c r="S109" s="5" t="n"/>
      <c r="V109" s="5" t="n"/>
      <c r="W109" s="6" t="n"/>
      <c r="X109" s="6" t="n"/>
      <c r="Z109" s="5" t="n"/>
    </row>
    <row r="110">
      <c r="D110" s="5" t="n"/>
      <c r="E110" s="5" t="n"/>
      <c r="F110" s="5" t="n"/>
      <c r="I110">
        <f>VALUE(LEFT($G110,1))*VALUE(LEFT($H110,1))</f>
        <v/>
      </c>
      <c r="J110">
        <f>IF($I110&gt;=20,"Critical",IF($I110&gt;=15,"High",IF($I110&gt;=10,"Medium",IF($I110&gt;=5,"Low",IF($I110&gt;0,"Very Low","")))))</f>
        <v/>
      </c>
      <c r="K110" s="5" t="n"/>
      <c r="O110">
        <f>VALUE(LEFT($M110,1))*VALUE(LEFT($N110,1))</f>
        <v/>
      </c>
      <c r="P110">
        <f>IF($O110&gt;=20,"Critical",IF($O110&gt;=15,"High",IF($O110&gt;=10,"Medium",IF($O110&gt;=5,"Low",IF($O110&gt;0,"Very Low","")))))</f>
        <v/>
      </c>
      <c r="S110" s="5" t="n"/>
      <c r="V110" s="5" t="n"/>
      <c r="W110" s="6" t="n"/>
      <c r="X110" s="6" t="n"/>
      <c r="Z110" s="5" t="n"/>
    </row>
    <row r="111">
      <c r="D111" s="5" t="n"/>
      <c r="E111" s="5" t="n"/>
      <c r="F111" s="5" t="n"/>
      <c r="I111">
        <f>VALUE(LEFT($G111,1))*VALUE(LEFT($H111,1))</f>
        <v/>
      </c>
      <c r="J111">
        <f>IF($I111&gt;=20,"Critical",IF($I111&gt;=15,"High",IF($I111&gt;=10,"Medium",IF($I111&gt;=5,"Low",IF($I111&gt;0,"Very Low","")))))</f>
        <v/>
      </c>
      <c r="K111" s="5" t="n"/>
      <c r="O111">
        <f>VALUE(LEFT($M111,1))*VALUE(LEFT($N111,1))</f>
        <v/>
      </c>
      <c r="P111">
        <f>IF($O111&gt;=20,"Critical",IF($O111&gt;=15,"High",IF($O111&gt;=10,"Medium",IF($O111&gt;=5,"Low",IF($O111&gt;0,"Very Low","")))))</f>
        <v/>
      </c>
      <c r="S111" s="5" t="n"/>
      <c r="V111" s="5" t="n"/>
      <c r="W111" s="6" t="n"/>
      <c r="X111" s="6" t="n"/>
      <c r="Z111" s="5" t="n"/>
    </row>
    <row r="112">
      <c r="D112" s="5" t="n"/>
      <c r="E112" s="5" t="n"/>
      <c r="F112" s="5" t="n"/>
      <c r="I112">
        <f>VALUE(LEFT($G112,1))*VALUE(LEFT($H112,1))</f>
        <v/>
      </c>
      <c r="J112">
        <f>IF($I112&gt;=20,"Critical",IF($I112&gt;=15,"High",IF($I112&gt;=10,"Medium",IF($I112&gt;=5,"Low",IF($I112&gt;0,"Very Low","")))))</f>
        <v/>
      </c>
      <c r="K112" s="5" t="n"/>
      <c r="O112">
        <f>VALUE(LEFT($M112,1))*VALUE(LEFT($N112,1))</f>
        <v/>
      </c>
      <c r="P112">
        <f>IF($O112&gt;=20,"Critical",IF($O112&gt;=15,"High",IF($O112&gt;=10,"Medium",IF($O112&gt;=5,"Low",IF($O112&gt;0,"Very Low","")))))</f>
        <v/>
      </c>
      <c r="S112" s="5" t="n"/>
      <c r="V112" s="5" t="n"/>
      <c r="W112" s="6" t="n"/>
      <c r="X112" s="6" t="n"/>
      <c r="Z112" s="5" t="n"/>
    </row>
    <row r="113">
      <c r="D113" s="5" t="n"/>
      <c r="E113" s="5" t="n"/>
      <c r="F113" s="5" t="n"/>
      <c r="I113">
        <f>VALUE(LEFT($G113,1))*VALUE(LEFT($H113,1))</f>
        <v/>
      </c>
      <c r="J113">
        <f>IF($I113&gt;=20,"Critical",IF($I113&gt;=15,"High",IF($I113&gt;=10,"Medium",IF($I113&gt;=5,"Low",IF($I113&gt;0,"Very Low","")))))</f>
        <v/>
      </c>
      <c r="K113" s="5" t="n"/>
      <c r="O113">
        <f>VALUE(LEFT($M113,1))*VALUE(LEFT($N113,1))</f>
        <v/>
      </c>
      <c r="P113">
        <f>IF($O113&gt;=20,"Critical",IF($O113&gt;=15,"High",IF($O113&gt;=10,"Medium",IF($O113&gt;=5,"Low",IF($O113&gt;0,"Very Low","")))))</f>
        <v/>
      </c>
      <c r="S113" s="5" t="n"/>
      <c r="V113" s="5" t="n"/>
      <c r="W113" s="6" t="n"/>
      <c r="X113" s="6" t="n"/>
      <c r="Z113" s="5" t="n"/>
    </row>
    <row r="114">
      <c r="D114" s="5" t="n"/>
      <c r="E114" s="5" t="n"/>
      <c r="F114" s="5" t="n"/>
      <c r="I114">
        <f>VALUE(LEFT($G114,1))*VALUE(LEFT($H114,1))</f>
        <v/>
      </c>
      <c r="J114">
        <f>IF($I114&gt;=20,"Critical",IF($I114&gt;=15,"High",IF($I114&gt;=10,"Medium",IF($I114&gt;=5,"Low",IF($I114&gt;0,"Very Low","")))))</f>
        <v/>
      </c>
      <c r="K114" s="5" t="n"/>
      <c r="O114">
        <f>VALUE(LEFT($M114,1))*VALUE(LEFT($N114,1))</f>
        <v/>
      </c>
      <c r="P114">
        <f>IF($O114&gt;=20,"Critical",IF($O114&gt;=15,"High",IF($O114&gt;=10,"Medium",IF($O114&gt;=5,"Low",IF($O114&gt;0,"Very Low","")))))</f>
        <v/>
      </c>
      <c r="S114" s="5" t="n"/>
      <c r="V114" s="5" t="n"/>
      <c r="W114" s="6" t="n"/>
      <c r="X114" s="6" t="n"/>
      <c r="Z114" s="5" t="n"/>
    </row>
    <row r="115">
      <c r="D115" s="5" t="n"/>
      <c r="E115" s="5" t="n"/>
      <c r="F115" s="5" t="n"/>
      <c r="I115">
        <f>VALUE(LEFT($G115,1))*VALUE(LEFT($H115,1))</f>
        <v/>
      </c>
      <c r="J115">
        <f>IF($I115&gt;=20,"Critical",IF($I115&gt;=15,"High",IF($I115&gt;=10,"Medium",IF($I115&gt;=5,"Low",IF($I115&gt;0,"Very Low","")))))</f>
        <v/>
      </c>
      <c r="K115" s="5" t="n"/>
      <c r="O115">
        <f>VALUE(LEFT($M115,1))*VALUE(LEFT($N115,1))</f>
        <v/>
      </c>
      <c r="P115">
        <f>IF($O115&gt;=20,"Critical",IF($O115&gt;=15,"High",IF($O115&gt;=10,"Medium",IF($O115&gt;=5,"Low",IF($O115&gt;0,"Very Low","")))))</f>
        <v/>
      </c>
      <c r="S115" s="5" t="n"/>
      <c r="V115" s="5" t="n"/>
      <c r="W115" s="6" t="n"/>
      <c r="X115" s="6" t="n"/>
      <c r="Z115" s="5" t="n"/>
    </row>
    <row r="116">
      <c r="D116" s="5" t="n"/>
      <c r="E116" s="5" t="n"/>
      <c r="F116" s="5" t="n"/>
      <c r="I116">
        <f>VALUE(LEFT($G116,1))*VALUE(LEFT($H116,1))</f>
        <v/>
      </c>
      <c r="J116">
        <f>IF($I116&gt;=20,"Critical",IF($I116&gt;=15,"High",IF($I116&gt;=10,"Medium",IF($I116&gt;=5,"Low",IF($I116&gt;0,"Very Low","")))))</f>
        <v/>
      </c>
      <c r="K116" s="5" t="n"/>
      <c r="O116">
        <f>VALUE(LEFT($M116,1))*VALUE(LEFT($N116,1))</f>
        <v/>
      </c>
      <c r="P116">
        <f>IF($O116&gt;=20,"Critical",IF($O116&gt;=15,"High",IF($O116&gt;=10,"Medium",IF($O116&gt;=5,"Low",IF($O116&gt;0,"Very Low","")))))</f>
        <v/>
      </c>
      <c r="S116" s="5" t="n"/>
      <c r="V116" s="5" t="n"/>
      <c r="W116" s="6" t="n"/>
      <c r="X116" s="6" t="n"/>
      <c r="Z116" s="5" t="n"/>
    </row>
    <row r="117">
      <c r="D117" s="5" t="n"/>
      <c r="E117" s="5" t="n"/>
      <c r="F117" s="5" t="n"/>
      <c r="I117">
        <f>VALUE(LEFT($G117,1))*VALUE(LEFT($H117,1))</f>
        <v/>
      </c>
      <c r="J117">
        <f>IF($I117&gt;=20,"Critical",IF($I117&gt;=15,"High",IF($I117&gt;=10,"Medium",IF($I117&gt;=5,"Low",IF($I117&gt;0,"Very Low","")))))</f>
        <v/>
      </c>
      <c r="K117" s="5" t="n"/>
      <c r="O117">
        <f>VALUE(LEFT($M117,1))*VALUE(LEFT($N117,1))</f>
        <v/>
      </c>
      <c r="P117">
        <f>IF($O117&gt;=20,"Critical",IF($O117&gt;=15,"High",IF($O117&gt;=10,"Medium",IF($O117&gt;=5,"Low",IF($O117&gt;0,"Very Low","")))))</f>
        <v/>
      </c>
      <c r="S117" s="5" t="n"/>
      <c r="V117" s="5" t="n"/>
      <c r="W117" s="6" t="n"/>
      <c r="X117" s="6" t="n"/>
      <c r="Z117" s="5" t="n"/>
    </row>
    <row r="118">
      <c r="D118" s="5" t="n"/>
      <c r="E118" s="5" t="n"/>
      <c r="F118" s="5" t="n"/>
      <c r="I118">
        <f>VALUE(LEFT($G118,1))*VALUE(LEFT($H118,1))</f>
        <v/>
      </c>
      <c r="J118">
        <f>IF($I118&gt;=20,"Critical",IF($I118&gt;=15,"High",IF($I118&gt;=10,"Medium",IF($I118&gt;=5,"Low",IF($I118&gt;0,"Very Low","")))))</f>
        <v/>
      </c>
      <c r="K118" s="5" t="n"/>
      <c r="O118">
        <f>VALUE(LEFT($M118,1))*VALUE(LEFT($N118,1))</f>
        <v/>
      </c>
      <c r="P118">
        <f>IF($O118&gt;=20,"Critical",IF($O118&gt;=15,"High",IF($O118&gt;=10,"Medium",IF($O118&gt;=5,"Low",IF($O118&gt;0,"Very Low","")))))</f>
        <v/>
      </c>
      <c r="S118" s="5" t="n"/>
      <c r="V118" s="5" t="n"/>
      <c r="W118" s="6" t="n"/>
      <c r="X118" s="6" t="n"/>
      <c r="Z118" s="5" t="n"/>
    </row>
    <row r="119">
      <c r="D119" s="5" t="n"/>
      <c r="E119" s="5" t="n"/>
      <c r="F119" s="5" t="n"/>
      <c r="I119">
        <f>VALUE(LEFT($G119,1))*VALUE(LEFT($H119,1))</f>
        <v/>
      </c>
      <c r="J119">
        <f>IF($I119&gt;=20,"Critical",IF($I119&gt;=15,"High",IF($I119&gt;=10,"Medium",IF($I119&gt;=5,"Low",IF($I119&gt;0,"Very Low","")))))</f>
        <v/>
      </c>
      <c r="K119" s="5" t="n"/>
      <c r="O119">
        <f>VALUE(LEFT($M119,1))*VALUE(LEFT($N119,1))</f>
        <v/>
      </c>
      <c r="P119">
        <f>IF($O119&gt;=20,"Critical",IF($O119&gt;=15,"High",IF($O119&gt;=10,"Medium",IF($O119&gt;=5,"Low",IF($O119&gt;0,"Very Low","")))))</f>
        <v/>
      </c>
      <c r="S119" s="5" t="n"/>
      <c r="V119" s="5" t="n"/>
      <c r="W119" s="6" t="n"/>
      <c r="X119" s="6" t="n"/>
      <c r="Z119" s="5" t="n"/>
    </row>
    <row r="120">
      <c r="D120" s="5" t="n"/>
      <c r="E120" s="5" t="n"/>
      <c r="F120" s="5" t="n"/>
      <c r="I120">
        <f>VALUE(LEFT($G120,1))*VALUE(LEFT($H120,1))</f>
        <v/>
      </c>
      <c r="J120">
        <f>IF($I120&gt;=20,"Critical",IF($I120&gt;=15,"High",IF($I120&gt;=10,"Medium",IF($I120&gt;=5,"Low",IF($I120&gt;0,"Very Low","")))))</f>
        <v/>
      </c>
      <c r="K120" s="5" t="n"/>
      <c r="O120">
        <f>VALUE(LEFT($M120,1))*VALUE(LEFT($N120,1))</f>
        <v/>
      </c>
      <c r="P120">
        <f>IF($O120&gt;=20,"Critical",IF($O120&gt;=15,"High",IF($O120&gt;=10,"Medium",IF($O120&gt;=5,"Low",IF($O120&gt;0,"Very Low","")))))</f>
        <v/>
      </c>
      <c r="S120" s="5" t="n"/>
      <c r="V120" s="5" t="n"/>
      <c r="W120" s="6" t="n"/>
      <c r="X120" s="6" t="n"/>
      <c r="Z120" s="5" t="n"/>
    </row>
    <row r="121">
      <c r="D121" s="5" t="n"/>
      <c r="E121" s="5" t="n"/>
      <c r="F121" s="5" t="n"/>
      <c r="I121">
        <f>VALUE(LEFT($G121,1))*VALUE(LEFT($H121,1))</f>
        <v/>
      </c>
      <c r="J121">
        <f>IF($I121&gt;=20,"Critical",IF($I121&gt;=15,"High",IF($I121&gt;=10,"Medium",IF($I121&gt;=5,"Low",IF($I121&gt;0,"Very Low","")))))</f>
        <v/>
      </c>
      <c r="K121" s="5" t="n"/>
      <c r="O121">
        <f>VALUE(LEFT($M121,1))*VALUE(LEFT($N121,1))</f>
        <v/>
      </c>
      <c r="P121">
        <f>IF($O121&gt;=20,"Critical",IF($O121&gt;=15,"High",IF($O121&gt;=10,"Medium",IF($O121&gt;=5,"Low",IF($O121&gt;0,"Very Low","")))))</f>
        <v/>
      </c>
      <c r="S121" s="5" t="n"/>
      <c r="V121" s="5" t="n"/>
      <c r="W121" s="6" t="n"/>
      <c r="X121" s="6" t="n"/>
      <c r="Z121" s="5" t="n"/>
    </row>
    <row r="122">
      <c r="D122" s="5" t="n"/>
      <c r="E122" s="5" t="n"/>
      <c r="F122" s="5" t="n"/>
      <c r="I122">
        <f>VALUE(LEFT($G122,1))*VALUE(LEFT($H122,1))</f>
        <v/>
      </c>
      <c r="J122">
        <f>IF($I122&gt;=20,"Critical",IF($I122&gt;=15,"High",IF($I122&gt;=10,"Medium",IF($I122&gt;=5,"Low",IF($I122&gt;0,"Very Low","")))))</f>
        <v/>
      </c>
      <c r="K122" s="5" t="n"/>
      <c r="O122">
        <f>VALUE(LEFT($M122,1))*VALUE(LEFT($N122,1))</f>
        <v/>
      </c>
      <c r="P122">
        <f>IF($O122&gt;=20,"Critical",IF($O122&gt;=15,"High",IF($O122&gt;=10,"Medium",IF($O122&gt;=5,"Low",IF($O122&gt;0,"Very Low","")))))</f>
        <v/>
      </c>
      <c r="S122" s="5" t="n"/>
      <c r="V122" s="5" t="n"/>
      <c r="W122" s="6" t="n"/>
      <c r="X122" s="6" t="n"/>
      <c r="Z122" s="5" t="n"/>
    </row>
    <row r="123">
      <c r="D123" s="5" t="n"/>
      <c r="E123" s="5" t="n"/>
      <c r="F123" s="5" t="n"/>
      <c r="I123">
        <f>VALUE(LEFT($G123,1))*VALUE(LEFT($H123,1))</f>
        <v/>
      </c>
      <c r="J123">
        <f>IF($I123&gt;=20,"Critical",IF($I123&gt;=15,"High",IF($I123&gt;=10,"Medium",IF($I123&gt;=5,"Low",IF($I123&gt;0,"Very Low","")))))</f>
        <v/>
      </c>
      <c r="K123" s="5" t="n"/>
      <c r="O123">
        <f>VALUE(LEFT($M123,1))*VALUE(LEFT($N123,1))</f>
        <v/>
      </c>
      <c r="P123">
        <f>IF($O123&gt;=20,"Critical",IF($O123&gt;=15,"High",IF($O123&gt;=10,"Medium",IF($O123&gt;=5,"Low",IF($O123&gt;0,"Very Low","")))))</f>
        <v/>
      </c>
      <c r="S123" s="5" t="n"/>
      <c r="V123" s="5" t="n"/>
      <c r="W123" s="6" t="n"/>
      <c r="X123" s="6" t="n"/>
      <c r="Z123" s="5" t="n"/>
    </row>
    <row r="124">
      <c r="D124" s="5" t="n"/>
      <c r="E124" s="5" t="n"/>
      <c r="F124" s="5" t="n"/>
      <c r="I124">
        <f>VALUE(LEFT($G124,1))*VALUE(LEFT($H124,1))</f>
        <v/>
      </c>
      <c r="J124">
        <f>IF($I124&gt;=20,"Critical",IF($I124&gt;=15,"High",IF($I124&gt;=10,"Medium",IF($I124&gt;=5,"Low",IF($I124&gt;0,"Very Low","")))))</f>
        <v/>
      </c>
      <c r="K124" s="5" t="n"/>
      <c r="O124">
        <f>VALUE(LEFT($M124,1))*VALUE(LEFT($N124,1))</f>
        <v/>
      </c>
      <c r="P124">
        <f>IF($O124&gt;=20,"Critical",IF($O124&gt;=15,"High",IF($O124&gt;=10,"Medium",IF($O124&gt;=5,"Low",IF($O124&gt;0,"Very Low","")))))</f>
        <v/>
      </c>
      <c r="S124" s="5" t="n"/>
      <c r="V124" s="5" t="n"/>
      <c r="W124" s="6" t="n"/>
      <c r="X124" s="6" t="n"/>
      <c r="Z124" s="5" t="n"/>
    </row>
    <row r="125">
      <c r="D125" s="5" t="n"/>
      <c r="E125" s="5" t="n"/>
      <c r="F125" s="5" t="n"/>
      <c r="I125">
        <f>VALUE(LEFT($G125,1))*VALUE(LEFT($H125,1))</f>
        <v/>
      </c>
      <c r="J125">
        <f>IF($I125&gt;=20,"Critical",IF($I125&gt;=15,"High",IF($I125&gt;=10,"Medium",IF($I125&gt;=5,"Low",IF($I125&gt;0,"Very Low","")))))</f>
        <v/>
      </c>
      <c r="K125" s="5" t="n"/>
      <c r="O125">
        <f>VALUE(LEFT($M125,1))*VALUE(LEFT($N125,1))</f>
        <v/>
      </c>
      <c r="P125">
        <f>IF($O125&gt;=20,"Critical",IF($O125&gt;=15,"High",IF($O125&gt;=10,"Medium",IF($O125&gt;=5,"Low",IF($O125&gt;0,"Very Low","")))))</f>
        <v/>
      </c>
      <c r="S125" s="5" t="n"/>
      <c r="V125" s="5" t="n"/>
      <c r="W125" s="6" t="n"/>
      <c r="X125" s="6" t="n"/>
      <c r="Z125" s="5" t="n"/>
    </row>
    <row r="126">
      <c r="D126" s="5" t="n"/>
      <c r="E126" s="5" t="n"/>
      <c r="F126" s="5" t="n"/>
      <c r="I126">
        <f>VALUE(LEFT($G126,1))*VALUE(LEFT($H126,1))</f>
        <v/>
      </c>
      <c r="J126">
        <f>IF($I126&gt;=20,"Critical",IF($I126&gt;=15,"High",IF($I126&gt;=10,"Medium",IF($I126&gt;=5,"Low",IF($I126&gt;0,"Very Low","")))))</f>
        <v/>
      </c>
      <c r="K126" s="5" t="n"/>
      <c r="O126">
        <f>VALUE(LEFT($M126,1))*VALUE(LEFT($N126,1))</f>
        <v/>
      </c>
      <c r="P126">
        <f>IF($O126&gt;=20,"Critical",IF($O126&gt;=15,"High",IF($O126&gt;=10,"Medium",IF($O126&gt;=5,"Low",IF($O126&gt;0,"Very Low","")))))</f>
        <v/>
      </c>
      <c r="S126" s="5" t="n"/>
      <c r="V126" s="5" t="n"/>
      <c r="W126" s="6" t="n"/>
      <c r="X126" s="6" t="n"/>
      <c r="Z126" s="5" t="n"/>
    </row>
    <row r="127">
      <c r="D127" s="5" t="n"/>
      <c r="E127" s="5" t="n"/>
      <c r="F127" s="5" t="n"/>
      <c r="I127">
        <f>VALUE(LEFT($G127,1))*VALUE(LEFT($H127,1))</f>
        <v/>
      </c>
      <c r="J127">
        <f>IF($I127&gt;=20,"Critical",IF($I127&gt;=15,"High",IF($I127&gt;=10,"Medium",IF($I127&gt;=5,"Low",IF($I127&gt;0,"Very Low","")))))</f>
        <v/>
      </c>
      <c r="K127" s="5" t="n"/>
      <c r="O127">
        <f>VALUE(LEFT($M127,1))*VALUE(LEFT($N127,1))</f>
        <v/>
      </c>
      <c r="P127">
        <f>IF($O127&gt;=20,"Critical",IF($O127&gt;=15,"High",IF($O127&gt;=10,"Medium",IF($O127&gt;=5,"Low",IF($O127&gt;0,"Very Low","")))))</f>
        <v/>
      </c>
      <c r="S127" s="5" t="n"/>
      <c r="V127" s="5" t="n"/>
      <c r="W127" s="6" t="n"/>
      <c r="X127" s="6" t="n"/>
      <c r="Z127" s="5" t="n"/>
    </row>
    <row r="128">
      <c r="D128" s="5" t="n"/>
      <c r="E128" s="5" t="n"/>
      <c r="F128" s="5" t="n"/>
      <c r="I128">
        <f>VALUE(LEFT($G128,1))*VALUE(LEFT($H128,1))</f>
        <v/>
      </c>
      <c r="J128">
        <f>IF($I128&gt;=20,"Critical",IF($I128&gt;=15,"High",IF($I128&gt;=10,"Medium",IF($I128&gt;=5,"Low",IF($I128&gt;0,"Very Low","")))))</f>
        <v/>
      </c>
      <c r="K128" s="5" t="n"/>
      <c r="O128">
        <f>VALUE(LEFT($M128,1))*VALUE(LEFT($N128,1))</f>
        <v/>
      </c>
      <c r="P128">
        <f>IF($O128&gt;=20,"Critical",IF($O128&gt;=15,"High",IF($O128&gt;=10,"Medium",IF($O128&gt;=5,"Low",IF($O128&gt;0,"Very Low","")))))</f>
        <v/>
      </c>
      <c r="S128" s="5" t="n"/>
      <c r="V128" s="5" t="n"/>
      <c r="W128" s="6" t="n"/>
      <c r="X128" s="6" t="n"/>
      <c r="Z128" s="5" t="n"/>
    </row>
    <row r="129">
      <c r="D129" s="5" t="n"/>
      <c r="E129" s="5" t="n"/>
      <c r="F129" s="5" t="n"/>
      <c r="I129">
        <f>VALUE(LEFT($G129,1))*VALUE(LEFT($H129,1))</f>
        <v/>
      </c>
      <c r="J129">
        <f>IF($I129&gt;=20,"Critical",IF($I129&gt;=15,"High",IF($I129&gt;=10,"Medium",IF($I129&gt;=5,"Low",IF($I129&gt;0,"Very Low","")))))</f>
        <v/>
      </c>
      <c r="K129" s="5" t="n"/>
      <c r="O129">
        <f>VALUE(LEFT($M129,1))*VALUE(LEFT($N129,1))</f>
        <v/>
      </c>
      <c r="P129">
        <f>IF($O129&gt;=20,"Critical",IF($O129&gt;=15,"High",IF($O129&gt;=10,"Medium",IF($O129&gt;=5,"Low",IF($O129&gt;0,"Very Low","")))))</f>
        <v/>
      </c>
      <c r="S129" s="5" t="n"/>
      <c r="V129" s="5" t="n"/>
      <c r="W129" s="6" t="n"/>
      <c r="X129" s="6" t="n"/>
      <c r="Z129" s="5" t="n"/>
    </row>
    <row r="130">
      <c r="D130" s="5" t="n"/>
      <c r="E130" s="5" t="n"/>
      <c r="F130" s="5" t="n"/>
      <c r="I130">
        <f>VALUE(LEFT($G130,1))*VALUE(LEFT($H130,1))</f>
        <v/>
      </c>
      <c r="J130">
        <f>IF($I130&gt;=20,"Critical",IF($I130&gt;=15,"High",IF($I130&gt;=10,"Medium",IF($I130&gt;=5,"Low",IF($I130&gt;0,"Very Low","")))))</f>
        <v/>
      </c>
      <c r="K130" s="5" t="n"/>
      <c r="O130">
        <f>VALUE(LEFT($M130,1))*VALUE(LEFT($N130,1))</f>
        <v/>
      </c>
      <c r="P130">
        <f>IF($O130&gt;=20,"Critical",IF($O130&gt;=15,"High",IF($O130&gt;=10,"Medium",IF($O130&gt;=5,"Low",IF($O130&gt;0,"Very Low","")))))</f>
        <v/>
      </c>
      <c r="S130" s="5" t="n"/>
      <c r="V130" s="5" t="n"/>
      <c r="W130" s="6" t="n"/>
      <c r="X130" s="6" t="n"/>
      <c r="Z130" s="5" t="n"/>
    </row>
    <row r="131">
      <c r="D131" s="5" t="n"/>
      <c r="E131" s="5" t="n"/>
      <c r="F131" s="5" t="n"/>
      <c r="I131">
        <f>VALUE(LEFT($G131,1))*VALUE(LEFT($H131,1))</f>
        <v/>
      </c>
      <c r="J131">
        <f>IF($I131&gt;=20,"Critical",IF($I131&gt;=15,"High",IF($I131&gt;=10,"Medium",IF($I131&gt;=5,"Low",IF($I131&gt;0,"Very Low","")))))</f>
        <v/>
      </c>
      <c r="K131" s="5" t="n"/>
      <c r="O131">
        <f>VALUE(LEFT($M131,1))*VALUE(LEFT($N131,1))</f>
        <v/>
      </c>
      <c r="P131">
        <f>IF($O131&gt;=20,"Critical",IF($O131&gt;=15,"High",IF($O131&gt;=10,"Medium",IF($O131&gt;=5,"Low",IF($O131&gt;0,"Very Low","")))))</f>
        <v/>
      </c>
      <c r="S131" s="5" t="n"/>
      <c r="V131" s="5" t="n"/>
      <c r="W131" s="6" t="n"/>
      <c r="X131" s="6" t="n"/>
      <c r="Z131" s="5" t="n"/>
    </row>
    <row r="132">
      <c r="D132" s="5" t="n"/>
      <c r="E132" s="5" t="n"/>
      <c r="F132" s="5" t="n"/>
      <c r="I132">
        <f>VALUE(LEFT($G132,1))*VALUE(LEFT($H132,1))</f>
        <v/>
      </c>
      <c r="J132">
        <f>IF($I132&gt;=20,"Critical",IF($I132&gt;=15,"High",IF($I132&gt;=10,"Medium",IF($I132&gt;=5,"Low",IF($I132&gt;0,"Very Low","")))))</f>
        <v/>
      </c>
      <c r="K132" s="5" t="n"/>
      <c r="O132">
        <f>VALUE(LEFT($M132,1))*VALUE(LEFT($N132,1))</f>
        <v/>
      </c>
      <c r="P132">
        <f>IF($O132&gt;=20,"Critical",IF($O132&gt;=15,"High",IF($O132&gt;=10,"Medium",IF($O132&gt;=5,"Low",IF($O132&gt;0,"Very Low","")))))</f>
        <v/>
      </c>
      <c r="S132" s="5" t="n"/>
      <c r="V132" s="5" t="n"/>
      <c r="W132" s="6" t="n"/>
      <c r="X132" s="6" t="n"/>
      <c r="Z132" s="5" t="n"/>
    </row>
    <row r="133">
      <c r="D133" s="5" t="n"/>
      <c r="E133" s="5" t="n"/>
      <c r="F133" s="5" t="n"/>
      <c r="I133">
        <f>VALUE(LEFT($G133,1))*VALUE(LEFT($H133,1))</f>
        <v/>
      </c>
      <c r="J133">
        <f>IF($I133&gt;=20,"Critical",IF($I133&gt;=15,"High",IF($I133&gt;=10,"Medium",IF($I133&gt;=5,"Low",IF($I133&gt;0,"Very Low","")))))</f>
        <v/>
      </c>
      <c r="K133" s="5" t="n"/>
      <c r="O133">
        <f>VALUE(LEFT($M133,1))*VALUE(LEFT($N133,1))</f>
        <v/>
      </c>
      <c r="P133">
        <f>IF($O133&gt;=20,"Critical",IF($O133&gt;=15,"High",IF($O133&gt;=10,"Medium",IF($O133&gt;=5,"Low",IF($O133&gt;0,"Very Low","")))))</f>
        <v/>
      </c>
      <c r="S133" s="5" t="n"/>
      <c r="V133" s="5" t="n"/>
      <c r="W133" s="6" t="n"/>
      <c r="X133" s="6" t="n"/>
      <c r="Z133" s="5" t="n"/>
    </row>
    <row r="134">
      <c r="D134" s="5" t="n"/>
      <c r="E134" s="5" t="n"/>
      <c r="F134" s="5" t="n"/>
      <c r="I134">
        <f>VALUE(LEFT($G134,1))*VALUE(LEFT($H134,1))</f>
        <v/>
      </c>
      <c r="J134">
        <f>IF($I134&gt;=20,"Critical",IF($I134&gt;=15,"High",IF($I134&gt;=10,"Medium",IF($I134&gt;=5,"Low",IF($I134&gt;0,"Very Low","")))))</f>
        <v/>
      </c>
      <c r="K134" s="5" t="n"/>
      <c r="O134">
        <f>VALUE(LEFT($M134,1))*VALUE(LEFT($N134,1))</f>
        <v/>
      </c>
      <c r="P134">
        <f>IF($O134&gt;=20,"Critical",IF($O134&gt;=15,"High",IF($O134&gt;=10,"Medium",IF($O134&gt;=5,"Low",IF($O134&gt;0,"Very Low","")))))</f>
        <v/>
      </c>
      <c r="S134" s="5" t="n"/>
      <c r="V134" s="5" t="n"/>
      <c r="W134" s="6" t="n"/>
      <c r="X134" s="6" t="n"/>
      <c r="Z134" s="5" t="n"/>
    </row>
    <row r="135">
      <c r="D135" s="5" t="n"/>
      <c r="E135" s="5" t="n"/>
      <c r="F135" s="5" t="n"/>
      <c r="I135">
        <f>VALUE(LEFT($G135,1))*VALUE(LEFT($H135,1))</f>
        <v/>
      </c>
      <c r="J135">
        <f>IF($I135&gt;=20,"Critical",IF($I135&gt;=15,"High",IF($I135&gt;=10,"Medium",IF($I135&gt;=5,"Low",IF($I135&gt;0,"Very Low","")))))</f>
        <v/>
      </c>
      <c r="K135" s="5" t="n"/>
      <c r="O135">
        <f>VALUE(LEFT($M135,1))*VALUE(LEFT($N135,1))</f>
        <v/>
      </c>
      <c r="P135">
        <f>IF($O135&gt;=20,"Critical",IF($O135&gt;=15,"High",IF($O135&gt;=10,"Medium",IF($O135&gt;=5,"Low",IF($O135&gt;0,"Very Low","")))))</f>
        <v/>
      </c>
      <c r="S135" s="5" t="n"/>
      <c r="V135" s="5" t="n"/>
      <c r="W135" s="6" t="n"/>
      <c r="X135" s="6" t="n"/>
      <c r="Z135" s="5" t="n"/>
    </row>
    <row r="136">
      <c r="D136" s="5" t="n"/>
      <c r="E136" s="5" t="n"/>
      <c r="F136" s="5" t="n"/>
      <c r="I136">
        <f>VALUE(LEFT($G136,1))*VALUE(LEFT($H136,1))</f>
        <v/>
      </c>
      <c r="J136">
        <f>IF($I136&gt;=20,"Critical",IF($I136&gt;=15,"High",IF($I136&gt;=10,"Medium",IF($I136&gt;=5,"Low",IF($I136&gt;0,"Very Low","")))))</f>
        <v/>
      </c>
      <c r="K136" s="5" t="n"/>
      <c r="O136">
        <f>VALUE(LEFT($M136,1))*VALUE(LEFT($N136,1))</f>
        <v/>
      </c>
      <c r="P136">
        <f>IF($O136&gt;=20,"Critical",IF($O136&gt;=15,"High",IF($O136&gt;=10,"Medium",IF($O136&gt;=5,"Low",IF($O136&gt;0,"Very Low","")))))</f>
        <v/>
      </c>
      <c r="S136" s="5" t="n"/>
      <c r="V136" s="5" t="n"/>
      <c r="W136" s="6" t="n"/>
      <c r="X136" s="6" t="n"/>
      <c r="Z136" s="5" t="n"/>
    </row>
    <row r="137">
      <c r="D137" s="5" t="n"/>
      <c r="E137" s="5" t="n"/>
      <c r="F137" s="5" t="n"/>
      <c r="I137">
        <f>VALUE(LEFT($G137,1))*VALUE(LEFT($H137,1))</f>
        <v/>
      </c>
      <c r="J137">
        <f>IF($I137&gt;=20,"Critical",IF($I137&gt;=15,"High",IF($I137&gt;=10,"Medium",IF($I137&gt;=5,"Low",IF($I137&gt;0,"Very Low","")))))</f>
        <v/>
      </c>
      <c r="K137" s="5" t="n"/>
      <c r="O137">
        <f>VALUE(LEFT($M137,1))*VALUE(LEFT($N137,1))</f>
        <v/>
      </c>
      <c r="P137">
        <f>IF($O137&gt;=20,"Critical",IF($O137&gt;=15,"High",IF($O137&gt;=10,"Medium",IF($O137&gt;=5,"Low",IF($O137&gt;0,"Very Low","")))))</f>
        <v/>
      </c>
      <c r="S137" s="5" t="n"/>
      <c r="V137" s="5" t="n"/>
      <c r="W137" s="6" t="n"/>
      <c r="X137" s="6" t="n"/>
      <c r="Z137" s="5" t="n"/>
    </row>
    <row r="138">
      <c r="D138" s="5" t="n"/>
      <c r="E138" s="5" t="n"/>
      <c r="F138" s="5" t="n"/>
      <c r="I138">
        <f>VALUE(LEFT($G138,1))*VALUE(LEFT($H138,1))</f>
        <v/>
      </c>
      <c r="J138">
        <f>IF($I138&gt;=20,"Critical",IF($I138&gt;=15,"High",IF($I138&gt;=10,"Medium",IF($I138&gt;=5,"Low",IF($I138&gt;0,"Very Low","")))))</f>
        <v/>
      </c>
      <c r="K138" s="5" t="n"/>
      <c r="O138">
        <f>VALUE(LEFT($M138,1))*VALUE(LEFT($N138,1))</f>
        <v/>
      </c>
      <c r="P138">
        <f>IF($O138&gt;=20,"Critical",IF($O138&gt;=15,"High",IF($O138&gt;=10,"Medium",IF($O138&gt;=5,"Low",IF($O138&gt;0,"Very Low","")))))</f>
        <v/>
      </c>
      <c r="S138" s="5" t="n"/>
      <c r="V138" s="5" t="n"/>
      <c r="W138" s="6" t="n"/>
      <c r="X138" s="6" t="n"/>
      <c r="Z138" s="5" t="n"/>
    </row>
    <row r="139">
      <c r="D139" s="5" t="n"/>
      <c r="E139" s="5" t="n"/>
      <c r="F139" s="5" t="n"/>
      <c r="I139">
        <f>VALUE(LEFT($G139,1))*VALUE(LEFT($H139,1))</f>
        <v/>
      </c>
      <c r="J139">
        <f>IF($I139&gt;=20,"Critical",IF($I139&gt;=15,"High",IF($I139&gt;=10,"Medium",IF($I139&gt;=5,"Low",IF($I139&gt;0,"Very Low","")))))</f>
        <v/>
      </c>
      <c r="K139" s="5" t="n"/>
      <c r="O139">
        <f>VALUE(LEFT($M139,1))*VALUE(LEFT($N139,1))</f>
        <v/>
      </c>
      <c r="P139">
        <f>IF($O139&gt;=20,"Critical",IF($O139&gt;=15,"High",IF($O139&gt;=10,"Medium",IF($O139&gt;=5,"Low",IF($O139&gt;0,"Very Low","")))))</f>
        <v/>
      </c>
      <c r="S139" s="5" t="n"/>
      <c r="V139" s="5" t="n"/>
      <c r="W139" s="6" t="n"/>
      <c r="X139" s="6" t="n"/>
      <c r="Z139" s="5" t="n"/>
    </row>
    <row r="140">
      <c r="D140" s="5" t="n"/>
      <c r="E140" s="5" t="n"/>
      <c r="F140" s="5" t="n"/>
      <c r="I140">
        <f>VALUE(LEFT($G140,1))*VALUE(LEFT($H140,1))</f>
        <v/>
      </c>
      <c r="J140">
        <f>IF($I140&gt;=20,"Critical",IF($I140&gt;=15,"High",IF($I140&gt;=10,"Medium",IF($I140&gt;=5,"Low",IF($I140&gt;0,"Very Low","")))))</f>
        <v/>
      </c>
      <c r="K140" s="5" t="n"/>
      <c r="O140">
        <f>VALUE(LEFT($M140,1))*VALUE(LEFT($N140,1))</f>
        <v/>
      </c>
      <c r="P140">
        <f>IF($O140&gt;=20,"Critical",IF($O140&gt;=15,"High",IF($O140&gt;=10,"Medium",IF($O140&gt;=5,"Low",IF($O140&gt;0,"Very Low","")))))</f>
        <v/>
      </c>
      <c r="S140" s="5" t="n"/>
      <c r="V140" s="5" t="n"/>
      <c r="W140" s="6" t="n"/>
      <c r="X140" s="6" t="n"/>
      <c r="Z140" s="5" t="n"/>
    </row>
    <row r="141">
      <c r="D141" s="5" t="n"/>
      <c r="E141" s="5" t="n"/>
      <c r="F141" s="5" t="n"/>
      <c r="I141">
        <f>VALUE(LEFT($G141,1))*VALUE(LEFT($H141,1))</f>
        <v/>
      </c>
      <c r="J141">
        <f>IF($I141&gt;=20,"Critical",IF($I141&gt;=15,"High",IF($I141&gt;=10,"Medium",IF($I141&gt;=5,"Low",IF($I141&gt;0,"Very Low","")))))</f>
        <v/>
      </c>
      <c r="K141" s="5" t="n"/>
      <c r="O141">
        <f>VALUE(LEFT($M141,1))*VALUE(LEFT($N141,1))</f>
        <v/>
      </c>
      <c r="P141">
        <f>IF($O141&gt;=20,"Critical",IF($O141&gt;=15,"High",IF($O141&gt;=10,"Medium",IF($O141&gt;=5,"Low",IF($O141&gt;0,"Very Low","")))))</f>
        <v/>
      </c>
      <c r="S141" s="5" t="n"/>
      <c r="V141" s="5" t="n"/>
      <c r="W141" s="6" t="n"/>
      <c r="X141" s="6" t="n"/>
      <c r="Z141" s="5" t="n"/>
    </row>
    <row r="142">
      <c r="D142" s="5" t="n"/>
      <c r="E142" s="5" t="n"/>
      <c r="F142" s="5" t="n"/>
      <c r="I142">
        <f>VALUE(LEFT($G142,1))*VALUE(LEFT($H142,1))</f>
        <v/>
      </c>
      <c r="J142">
        <f>IF($I142&gt;=20,"Critical",IF($I142&gt;=15,"High",IF($I142&gt;=10,"Medium",IF($I142&gt;=5,"Low",IF($I142&gt;0,"Very Low","")))))</f>
        <v/>
      </c>
      <c r="K142" s="5" t="n"/>
      <c r="O142">
        <f>VALUE(LEFT($M142,1))*VALUE(LEFT($N142,1))</f>
        <v/>
      </c>
      <c r="P142">
        <f>IF($O142&gt;=20,"Critical",IF($O142&gt;=15,"High",IF($O142&gt;=10,"Medium",IF($O142&gt;=5,"Low",IF($O142&gt;0,"Very Low","")))))</f>
        <v/>
      </c>
      <c r="S142" s="5" t="n"/>
      <c r="V142" s="5" t="n"/>
      <c r="W142" s="6" t="n"/>
      <c r="X142" s="6" t="n"/>
      <c r="Z142" s="5" t="n"/>
    </row>
    <row r="143">
      <c r="D143" s="5" t="n"/>
      <c r="E143" s="5" t="n"/>
      <c r="F143" s="5" t="n"/>
      <c r="I143">
        <f>VALUE(LEFT($G143,1))*VALUE(LEFT($H143,1))</f>
        <v/>
      </c>
      <c r="J143">
        <f>IF($I143&gt;=20,"Critical",IF($I143&gt;=15,"High",IF($I143&gt;=10,"Medium",IF($I143&gt;=5,"Low",IF($I143&gt;0,"Very Low","")))))</f>
        <v/>
      </c>
      <c r="K143" s="5" t="n"/>
      <c r="O143">
        <f>VALUE(LEFT($M143,1))*VALUE(LEFT($N143,1))</f>
        <v/>
      </c>
      <c r="P143">
        <f>IF($O143&gt;=20,"Critical",IF($O143&gt;=15,"High",IF($O143&gt;=10,"Medium",IF($O143&gt;=5,"Low",IF($O143&gt;0,"Very Low","")))))</f>
        <v/>
      </c>
      <c r="S143" s="5" t="n"/>
      <c r="V143" s="5" t="n"/>
      <c r="W143" s="6" t="n"/>
      <c r="X143" s="6" t="n"/>
      <c r="Z143" s="5" t="n"/>
    </row>
    <row r="144">
      <c r="D144" s="5" t="n"/>
      <c r="E144" s="5" t="n"/>
      <c r="F144" s="5" t="n"/>
      <c r="I144">
        <f>VALUE(LEFT($G144,1))*VALUE(LEFT($H144,1))</f>
        <v/>
      </c>
      <c r="J144">
        <f>IF($I144&gt;=20,"Critical",IF($I144&gt;=15,"High",IF($I144&gt;=10,"Medium",IF($I144&gt;=5,"Low",IF($I144&gt;0,"Very Low","")))))</f>
        <v/>
      </c>
      <c r="K144" s="5" t="n"/>
      <c r="O144">
        <f>VALUE(LEFT($M144,1))*VALUE(LEFT($N144,1))</f>
        <v/>
      </c>
      <c r="P144">
        <f>IF($O144&gt;=20,"Critical",IF($O144&gt;=15,"High",IF($O144&gt;=10,"Medium",IF($O144&gt;=5,"Low",IF($O144&gt;0,"Very Low","")))))</f>
        <v/>
      </c>
      <c r="S144" s="5" t="n"/>
      <c r="V144" s="5" t="n"/>
      <c r="W144" s="6" t="n"/>
      <c r="X144" s="6" t="n"/>
      <c r="Z144" s="5" t="n"/>
    </row>
    <row r="145">
      <c r="D145" s="5" t="n"/>
      <c r="E145" s="5" t="n"/>
      <c r="F145" s="5" t="n"/>
      <c r="I145">
        <f>VALUE(LEFT($G145,1))*VALUE(LEFT($H145,1))</f>
        <v/>
      </c>
      <c r="J145">
        <f>IF($I145&gt;=20,"Critical",IF($I145&gt;=15,"High",IF($I145&gt;=10,"Medium",IF($I145&gt;=5,"Low",IF($I145&gt;0,"Very Low","")))))</f>
        <v/>
      </c>
      <c r="K145" s="5" t="n"/>
      <c r="O145">
        <f>VALUE(LEFT($M145,1))*VALUE(LEFT($N145,1))</f>
        <v/>
      </c>
      <c r="P145">
        <f>IF($O145&gt;=20,"Critical",IF($O145&gt;=15,"High",IF($O145&gt;=10,"Medium",IF($O145&gt;=5,"Low",IF($O145&gt;0,"Very Low","")))))</f>
        <v/>
      </c>
      <c r="S145" s="5" t="n"/>
      <c r="V145" s="5" t="n"/>
      <c r="W145" s="6" t="n"/>
      <c r="X145" s="6" t="n"/>
      <c r="Z145" s="5" t="n"/>
    </row>
    <row r="146">
      <c r="D146" s="5" t="n"/>
      <c r="E146" s="5" t="n"/>
      <c r="F146" s="5" t="n"/>
      <c r="I146">
        <f>VALUE(LEFT($G146,1))*VALUE(LEFT($H146,1))</f>
        <v/>
      </c>
      <c r="J146">
        <f>IF($I146&gt;=20,"Critical",IF($I146&gt;=15,"High",IF($I146&gt;=10,"Medium",IF($I146&gt;=5,"Low",IF($I146&gt;0,"Very Low","")))))</f>
        <v/>
      </c>
      <c r="K146" s="5" t="n"/>
      <c r="O146">
        <f>VALUE(LEFT($M146,1))*VALUE(LEFT($N146,1))</f>
        <v/>
      </c>
      <c r="P146">
        <f>IF($O146&gt;=20,"Critical",IF($O146&gt;=15,"High",IF($O146&gt;=10,"Medium",IF($O146&gt;=5,"Low",IF($O146&gt;0,"Very Low","")))))</f>
        <v/>
      </c>
      <c r="S146" s="5" t="n"/>
      <c r="V146" s="5" t="n"/>
      <c r="W146" s="6" t="n"/>
      <c r="X146" s="6" t="n"/>
      <c r="Z146" s="5" t="n"/>
    </row>
    <row r="147">
      <c r="D147" s="5" t="n"/>
      <c r="E147" s="5" t="n"/>
      <c r="F147" s="5" t="n"/>
      <c r="I147">
        <f>VALUE(LEFT($G147,1))*VALUE(LEFT($H147,1))</f>
        <v/>
      </c>
      <c r="J147">
        <f>IF($I147&gt;=20,"Critical",IF($I147&gt;=15,"High",IF($I147&gt;=10,"Medium",IF($I147&gt;=5,"Low",IF($I147&gt;0,"Very Low","")))))</f>
        <v/>
      </c>
      <c r="K147" s="5" t="n"/>
      <c r="O147">
        <f>VALUE(LEFT($M147,1))*VALUE(LEFT($N147,1))</f>
        <v/>
      </c>
      <c r="P147">
        <f>IF($O147&gt;=20,"Critical",IF($O147&gt;=15,"High",IF($O147&gt;=10,"Medium",IF($O147&gt;=5,"Low",IF($O147&gt;0,"Very Low","")))))</f>
        <v/>
      </c>
      <c r="S147" s="5" t="n"/>
      <c r="V147" s="5" t="n"/>
      <c r="W147" s="6" t="n"/>
      <c r="X147" s="6" t="n"/>
      <c r="Z147" s="5" t="n"/>
    </row>
    <row r="148">
      <c r="D148" s="5" t="n"/>
      <c r="E148" s="5" t="n"/>
      <c r="F148" s="5" t="n"/>
      <c r="I148">
        <f>VALUE(LEFT($G148,1))*VALUE(LEFT($H148,1))</f>
        <v/>
      </c>
      <c r="J148">
        <f>IF($I148&gt;=20,"Critical",IF($I148&gt;=15,"High",IF($I148&gt;=10,"Medium",IF($I148&gt;=5,"Low",IF($I148&gt;0,"Very Low","")))))</f>
        <v/>
      </c>
      <c r="K148" s="5" t="n"/>
      <c r="O148">
        <f>VALUE(LEFT($M148,1))*VALUE(LEFT($N148,1))</f>
        <v/>
      </c>
      <c r="P148">
        <f>IF($O148&gt;=20,"Critical",IF($O148&gt;=15,"High",IF($O148&gt;=10,"Medium",IF($O148&gt;=5,"Low",IF($O148&gt;0,"Very Low","")))))</f>
        <v/>
      </c>
      <c r="S148" s="5" t="n"/>
      <c r="V148" s="5" t="n"/>
      <c r="W148" s="6" t="n"/>
      <c r="X148" s="6" t="n"/>
      <c r="Z148" s="5" t="n"/>
    </row>
    <row r="149">
      <c r="D149" s="5" t="n"/>
      <c r="E149" s="5" t="n"/>
      <c r="F149" s="5" t="n"/>
      <c r="I149">
        <f>VALUE(LEFT($G149,1))*VALUE(LEFT($H149,1))</f>
        <v/>
      </c>
      <c r="J149">
        <f>IF($I149&gt;=20,"Critical",IF($I149&gt;=15,"High",IF($I149&gt;=10,"Medium",IF($I149&gt;=5,"Low",IF($I149&gt;0,"Very Low","")))))</f>
        <v/>
      </c>
      <c r="K149" s="5" t="n"/>
      <c r="O149">
        <f>VALUE(LEFT($M149,1))*VALUE(LEFT($N149,1))</f>
        <v/>
      </c>
      <c r="P149">
        <f>IF($O149&gt;=20,"Critical",IF($O149&gt;=15,"High",IF($O149&gt;=10,"Medium",IF($O149&gt;=5,"Low",IF($O149&gt;0,"Very Low","")))))</f>
        <v/>
      </c>
      <c r="S149" s="5" t="n"/>
      <c r="V149" s="5" t="n"/>
      <c r="W149" s="6" t="n"/>
      <c r="X149" s="6" t="n"/>
      <c r="Z149" s="5" t="n"/>
    </row>
    <row r="150">
      <c r="D150" s="5" t="n"/>
      <c r="E150" s="5" t="n"/>
      <c r="F150" s="5" t="n"/>
      <c r="I150">
        <f>VALUE(LEFT($G150,1))*VALUE(LEFT($H150,1))</f>
        <v/>
      </c>
      <c r="J150">
        <f>IF($I150&gt;=20,"Critical",IF($I150&gt;=15,"High",IF($I150&gt;=10,"Medium",IF($I150&gt;=5,"Low",IF($I150&gt;0,"Very Low","")))))</f>
        <v/>
      </c>
      <c r="K150" s="5" t="n"/>
      <c r="O150">
        <f>VALUE(LEFT($M150,1))*VALUE(LEFT($N150,1))</f>
        <v/>
      </c>
      <c r="P150">
        <f>IF($O150&gt;=20,"Critical",IF($O150&gt;=15,"High",IF($O150&gt;=10,"Medium",IF($O150&gt;=5,"Low",IF($O150&gt;0,"Very Low","")))))</f>
        <v/>
      </c>
      <c r="S150" s="5" t="n"/>
      <c r="V150" s="5" t="n"/>
      <c r="W150" s="6" t="n"/>
      <c r="X150" s="6" t="n"/>
      <c r="Z150" s="5" t="n"/>
    </row>
    <row r="151">
      <c r="D151" s="5" t="n"/>
      <c r="E151" s="5" t="n"/>
      <c r="F151" s="5" t="n"/>
      <c r="I151">
        <f>VALUE(LEFT($G151,1))*VALUE(LEFT($H151,1))</f>
        <v/>
      </c>
      <c r="J151">
        <f>IF($I151&gt;=20,"Critical",IF($I151&gt;=15,"High",IF($I151&gt;=10,"Medium",IF($I151&gt;=5,"Low",IF($I151&gt;0,"Very Low","")))))</f>
        <v/>
      </c>
      <c r="K151" s="5" t="n"/>
      <c r="O151">
        <f>VALUE(LEFT($M151,1))*VALUE(LEFT($N151,1))</f>
        <v/>
      </c>
      <c r="P151">
        <f>IF($O151&gt;=20,"Critical",IF($O151&gt;=15,"High",IF($O151&gt;=10,"Medium",IF($O151&gt;=5,"Low",IF($O151&gt;0,"Very Low","")))))</f>
        <v/>
      </c>
      <c r="S151" s="5" t="n"/>
      <c r="V151" s="5" t="n"/>
      <c r="W151" s="6" t="n"/>
      <c r="X151" s="6" t="n"/>
      <c r="Z151" s="5" t="n"/>
    </row>
    <row r="152">
      <c r="D152" s="5" t="n"/>
      <c r="E152" s="5" t="n"/>
      <c r="F152" s="5" t="n"/>
      <c r="I152">
        <f>VALUE(LEFT($G152,1))*VALUE(LEFT($H152,1))</f>
        <v/>
      </c>
      <c r="J152">
        <f>IF($I152&gt;=20,"Critical",IF($I152&gt;=15,"High",IF($I152&gt;=10,"Medium",IF($I152&gt;=5,"Low",IF($I152&gt;0,"Very Low","")))))</f>
        <v/>
      </c>
      <c r="K152" s="5" t="n"/>
      <c r="O152">
        <f>VALUE(LEFT($M152,1))*VALUE(LEFT($N152,1))</f>
        <v/>
      </c>
      <c r="P152">
        <f>IF($O152&gt;=20,"Critical",IF($O152&gt;=15,"High",IF($O152&gt;=10,"Medium",IF($O152&gt;=5,"Low",IF($O152&gt;0,"Very Low","")))))</f>
        <v/>
      </c>
      <c r="S152" s="5" t="n"/>
      <c r="V152" s="5" t="n"/>
      <c r="W152" s="6" t="n"/>
      <c r="X152" s="6" t="n"/>
      <c r="Z152" s="5" t="n"/>
    </row>
    <row r="153">
      <c r="D153" s="5" t="n"/>
      <c r="E153" s="5" t="n"/>
      <c r="F153" s="5" t="n"/>
      <c r="I153">
        <f>VALUE(LEFT($G153,1))*VALUE(LEFT($H153,1))</f>
        <v/>
      </c>
      <c r="J153">
        <f>IF($I153&gt;=20,"Critical",IF($I153&gt;=15,"High",IF($I153&gt;=10,"Medium",IF($I153&gt;=5,"Low",IF($I153&gt;0,"Very Low","")))))</f>
        <v/>
      </c>
      <c r="K153" s="5" t="n"/>
      <c r="O153">
        <f>VALUE(LEFT($M153,1))*VALUE(LEFT($N153,1))</f>
        <v/>
      </c>
      <c r="P153">
        <f>IF($O153&gt;=20,"Critical",IF($O153&gt;=15,"High",IF($O153&gt;=10,"Medium",IF($O153&gt;=5,"Low",IF($O153&gt;0,"Very Low","")))))</f>
        <v/>
      </c>
      <c r="S153" s="5" t="n"/>
      <c r="V153" s="5" t="n"/>
      <c r="W153" s="6" t="n"/>
      <c r="X153" s="6" t="n"/>
      <c r="Z153" s="5" t="n"/>
    </row>
    <row r="154">
      <c r="D154" s="5" t="n"/>
      <c r="E154" s="5" t="n"/>
      <c r="F154" s="5" t="n"/>
      <c r="I154">
        <f>VALUE(LEFT($G154,1))*VALUE(LEFT($H154,1))</f>
        <v/>
      </c>
      <c r="J154">
        <f>IF($I154&gt;=20,"Critical",IF($I154&gt;=15,"High",IF($I154&gt;=10,"Medium",IF($I154&gt;=5,"Low",IF($I154&gt;0,"Very Low","")))))</f>
        <v/>
      </c>
      <c r="K154" s="5" t="n"/>
      <c r="O154">
        <f>VALUE(LEFT($M154,1))*VALUE(LEFT($N154,1))</f>
        <v/>
      </c>
      <c r="P154">
        <f>IF($O154&gt;=20,"Critical",IF($O154&gt;=15,"High",IF($O154&gt;=10,"Medium",IF($O154&gt;=5,"Low",IF($O154&gt;0,"Very Low","")))))</f>
        <v/>
      </c>
      <c r="S154" s="5" t="n"/>
      <c r="V154" s="5" t="n"/>
      <c r="W154" s="6" t="n"/>
      <c r="X154" s="6" t="n"/>
      <c r="Z154" s="5" t="n"/>
    </row>
    <row r="155">
      <c r="D155" s="5" t="n"/>
      <c r="E155" s="5" t="n"/>
      <c r="F155" s="5" t="n"/>
      <c r="I155">
        <f>VALUE(LEFT($G155,1))*VALUE(LEFT($H155,1))</f>
        <v/>
      </c>
      <c r="J155">
        <f>IF($I155&gt;=20,"Critical",IF($I155&gt;=15,"High",IF($I155&gt;=10,"Medium",IF($I155&gt;=5,"Low",IF($I155&gt;0,"Very Low","")))))</f>
        <v/>
      </c>
      <c r="K155" s="5" t="n"/>
      <c r="O155">
        <f>VALUE(LEFT($M155,1))*VALUE(LEFT($N155,1))</f>
        <v/>
      </c>
      <c r="P155">
        <f>IF($O155&gt;=20,"Critical",IF($O155&gt;=15,"High",IF($O155&gt;=10,"Medium",IF($O155&gt;=5,"Low",IF($O155&gt;0,"Very Low","")))))</f>
        <v/>
      </c>
      <c r="S155" s="5" t="n"/>
      <c r="V155" s="5" t="n"/>
      <c r="W155" s="6" t="n"/>
      <c r="X155" s="6" t="n"/>
      <c r="Z155" s="5" t="n"/>
    </row>
    <row r="156">
      <c r="D156" s="5" t="n"/>
      <c r="E156" s="5" t="n"/>
      <c r="F156" s="5" t="n"/>
      <c r="I156">
        <f>VALUE(LEFT($G156,1))*VALUE(LEFT($H156,1))</f>
        <v/>
      </c>
      <c r="J156">
        <f>IF($I156&gt;=20,"Critical",IF($I156&gt;=15,"High",IF($I156&gt;=10,"Medium",IF($I156&gt;=5,"Low",IF($I156&gt;0,"Very Low","")))))</f>
        <v/>
      </c>
      <c r="K156" s="5" t="n"/>
      <c r="O156">
        <f>VALUE(LEFT($M156,1))*VALUE(LEFT($N156,1))</f>
        <v/>
      </c>
      <c r="P156">
        <f>IF($O156&gt;=20,"Critical",IF($O156&gt;=15,"High",IF($O156&gt;=10,"Medium",IF($O156&gt;=5,"Low",IF($O156&gt;0,"Very Low","")))))</f>
        <v/>
      </c>
      <c r="S156" s="5" t="n"/>
      <c r="V156" s="5" t="n"/>
      <c r="W156" s="6" t="n"/>
      <c r="X156" s="6" t="n"/>
      <c r="Z156" s="5" t="n"/>
    </row>
    <row r="157">
      <c r="D157" s="5" t="n"/>
      <c r="E157" s="5" t="n"/>
      <c r="F157" s="5" t="n"/>
      <c r="I157">
        <f>VALUE(LEFT($G157,1))*VALUE(LEFT($H157,1))</f>
        <v/>
      </c>
      <c r="J157">
        <f>IF($I157&gt;=20,"Critical",IF($I157&gt;=15,"High",IF($I157&gt;=10,"Medium",IF($I157&gt;=5,"Low",IF($I157&gt;0,"Very Low","")))))</f>
        <v/>
      </c>
      <c r="K157" s="5" t="n"/>
      <c r="O157">
        <f>VALUE(LEFT($M157,1))*VALUE(LEFT($N157,1))</f>
        <v/>
      </c>
      <c r="P157">
        <f>IF($O157&gt;=20,"Critical",IF($O157&gt;=15,"High",IF($O157&gt;=10,"Medium",IF($O157&gt;=5,"Low",IF($O157&gt;0,"Very Low","")))))</f>
        <v/>
      </c>
      <c r="S157" s="5" t="n"/>
      <c r="V157" s="5" t="n"/>
      <c r="W157" s="6" t="n"/>
      <c r="X157" s="6" t="n"/>
      <c r="Z157" s="5" t="n"/>
    </row>
    <row r="158">
      <c r="D158" s="5" t="n"/>
      <c r="E158" s="5" t="n"/>
      <c r="F158" s="5" t="n"/>
      <c r="I158">
        <f>VALUE(LEFT($G158,1))*VALUE(LEFT($H158,1))</f>
        <v/>
      </c>
      <c r="J158">
        <f>IF($I158&gt;=20,"Critical",IF($I158&gt;=15,"High",IF($I158&gt;=10,"Medium",IF($I158&gt;=5,"Low",IF($I158&gt;0,"Very Low","")))))</f>
        <v/>
      </c>
      <c r="K158" s="5" t="n"/>
      <c r="O158">
        <f>VALUE(LEFT($M158,1))*VALUE(LEFT($N158,1))</f>
        <v/>
      </c>
      <c r="P158">
        <f>IF($O158&gt;=20,"Critical",IF($O158&gt;=15,"High",IF($O158&gt;=10,"Medium",IF($O158&gt;=5,"Low",IF($O158&gt;0,"Very Low","")))))</f>
        <v/>
      </c>
      <c r="S158" s="5" t="n"/>
      <c r="V158" s="5" t="n"/>
      <c r="W158" s="6" t="n"/>
      <c r="X158" s="6" t="n"/>
      <c r="Z158" s="5" t="n"/>
    </row>
    <row r="159">
      <c r="D159" s="5" t="n"/>
      <c r="E159" s="5" t="n"/>
      <c r="F159" s="5" t="n"/>
      <c r="I159">
        <f>VALUE(LEFT($G159,1))*VALUE(LEFT($H159,1))</f>
        <v/>
      </c>
      <c r="J159">
        <f>IF($I159&gt;=20,"Critical",IF($I159&gt;=15,"High",IF($I159&gt;=10,"Medium",IF($I159&gt;=5,"Low",IF($I159&gt;0,"Very Low","")))))</f>
        <v/>
      </c>
      <c r="K159" s="5" t="n"/>
      <c r="O159">
        <f>VALUE(LEFT($M159,1))*VALUE(LEFT($N159,1))</f>
        <v/>
      </c>
      <c r="P159">
        <f>IF($O159&gt;=20,"Critical",IF($O159&gt;=15,"High",IF($O159&gt;=10,"Medium",IF($O159&gt;=5,"Low",IF($O159&gt;0,"Very Low","")))))</f>
        <v/>
      </c>
      <c r="S159" s="5" t="n"/>
      <c r="V159" s="5" t="n"/>
      <c r="W159" s="6" t="n"/>
      <c r="X159" s="6" t="n"/>
      <c r="Z159" s="5" t="n"/>
    </row>
    <row r="160">
      <c r="D160" s="5" t="n"/>
      <c r="E160" s="5" t="n"/>
      <c r="F160" s="5" t="n"/>
      <c r="I160">
        <f>VALUE(LEFT($G160,1))*VALUE(LEFT($H160,1))</f>
        <v/>
      </c>
      <c r="J160">
        <f>IF($I160&gt;=20,"Critical",IF($I160&gt;=15,"High",IF($I160&gt;=10,"Medium",IF($I160&gt;=5,"Low",IF($I160&gt;0,"Very Low","")))))</f>
        <v/>
      </c>
      <c r="K160" s="5" t="n"/>
      <c r="O160">
        <f>VALUE(LEFT($M160,1))*VALUE(LEFT($N160,1))</f>
        <v/>
      </c>
      <c r="P160">
        <f>IF($O160&gt;=20,"Critical",IF($O160&gt;=15,"High",IF($O160&gt;=10,"Medium",IF($O160&gt;=5,"Low",IF($O160&gt;0,"Very Low","")))))</f>
        <v/>
      </c>
      <c r="S160" s="5" t="n"/>
      <c r="V160" s="5" t="n"/>
      <c r="W160" s="6" t="n"/>
      <c r="X160" s="6" t="n"/>
      <c r="Z160" s="5" t="n"/>
    </row>
    <row r="161">
      <c r="D161" s="5" t="n"/>
      <c r="E161" s="5" t="n"/>
      <c r="F161" s="5" t="n"/>
      <c r="I161">
        <f>VALUE(LEFT($G161,1))*VALUE(LEFT($H161,1))</f>
        <v/>
      </c>
      <c r="J161">
        <f>IF($I161&gt;=20,"Critical",IF($I161&gt;=15,"High",IF($I161&gt;=10,"Medium",IF($I161&gt;=5,"Low",IF($I161&gt;0,"Very Low","")))))</f>
        <v/>
      </c>
      <c r="K161" s="5" t="n"/>
      <c r="O161">
        <f>VALUE(LEFT($M161,1))*VALUE(LEFT($N161,1))</f>
        <v/>
      </c>
      <c r="P161">
        <f>IF($O161&gt;=20,"Critical",IF($O161&gt;=15,"High",IF($O161&gt;=10,"Medium",IF($O161&gt;=5,"Low",IF($O161&gt;0,"Very Low","")))))</f>
        <v/>
      </c>
      <c r="S161" s="5" t="n"/>
      <c r="V161" s="5" t="n"/>
      <c r="W161" s="6" t="n"/>
      <c r="X161" s="6" t="n"/>
      <c r="Z161" s="5" t="n"/>
    </row>
    <row r="162">
      <c r="D162" s="5" t="n"/>
      <c r="E162" s="5" t="n"/>
      <c r="F162" s="5" t="n"/>
      <c r="I162">
        <f>VALUE(LEFT($G162,1))*VALUE(LEFT($H162,1))</f>
        <v/>
      </c>
      <c r="J162">
        <f>IF($I162&gt;=20,"Critical",IF($I162&gt;=15,"High",IF($I162&gt;=10,"Medium",IF($I162&gt;=5,"Low",IF($I162&gt;0,"Very Low","")))))</f>
        <v/>
      </c>
      <c r="K162" s="5" t="n"/>
      <c r="O162">
        <f>VALUE(LEFT($M162,1))*VALUE(LEFT($N162,1))</f>
        <v/>
      </c>
      <c r="P162">
        <f>IF($O162&gt;=20,"Critical",IF($O162&gt;=15,"High",IF($O162&gt;=10,"Medium",IF($O162&gt;=5,"Low",IF($O162&gt;0,"Very Low","")))))</f>
        <v/>
      </c>
      <c r="S162" s="5" t="n"/>
      <c r="V162" s="5" t="n"/>
      <c r="W162" s="6" t="n"/>
      <c r="X162" s="6" t="n"/>
      <c r="Z162" s="5" t="n"/>
    </row>
    <row r="163">
      <c r="D163" s="5" t="n"/>
      <c r="E163" s="5" t="n"/>
      <c r="F163" s="5" t="n"/>
      <c r="I163">
        <f>VALUE(LEFT($G163,1))*VALUE(LEFT($H163,1))</f>
        <v/>
      </c>
      <c r="J163">
        <f>IF($I163&gt;=20,"Critical",IF($I163&gt;=15,"High",IF($I163&gt;=10,"Medium",IF($I163&gt;=5,"Low",IF($I163&gt;0,"Very Low","")))))</f>
        <v/>
      </c>
      <c r="K163" s="5" t="n"/>
      <c r="O163">
        <f>VALUE(LEFT($M163,1))*VALUE(LEFT($N163,1))</f>
        <v/>
      </c>
      <c r="P163">
        <f>IF($O163&gt;=20,"Critical",IF($O163&gt;=15,"High",IF($O163&gt;=10,"Medium",IF($O163&gt;=5,"Low",IF($O163&gt;0,"Very Low","")))))</f>
        <v/>
      </c>
      <c r="S163" s="5" t="n"/>
      <c r="V163" s="5" t="n"/>
      <c r="W163" s="6" t="n"/>
      <c r="X163" s="6" t="n"/>
      <c r="Z163" s="5" t="n"/>
    </row>
    <row r="164">
      <c r="D164" s="5" t="n"/>
      <c r="E164" s="5" t="n"/>
      <c r="F164" s="5" t="n"/>
      <c r="I164">
        <f>VALUE(LEFT($G164,1))*VALUE(LEFT($H164,1))</f>
        <v/>
      </c>
      <c r="J164">
        <f>IF($I164&gt;=20,"Critical",IF($I164&gt;=15,"High",IF($I164&gt;=10,"Medium",IF($I164&gt;=5,"Low",IF($I164&gt;0,"Very Low","")))))</f>
        <v/>
      </c>
      <c r="K164" s="5" t="n"/>
      <c r="O164">
        <f>VALUE(LEFT($M164,1))*VALUE(LEFT($N164,1))</f>
        <v/>
      </c>
      <c r="P164">
        <f>IF($O164&gt;=20,"Critical",IF($O164&gt;=15,"High",IF($O164&gt;=10,"Medium",IF($O164&gt;=5,"Low",IF($O164&gt;0,"Very Low","")))))</f>
        <v/>
      </c>
      <c r="S164" s="5" t="n"/>
      <c r="V164" s="5" t="n"/>
      <c r="W164" s="6" t="n"/>
      <c r="X164" s="6" t="n"/>
      <c r="Z164" s="5" t="n"/>
    </row>
    <row r="165">
      <c r="D165" s="5" t="n"/>
      <c r="E165" s="5" t="n"/>
      <c r="F165" s="5" t="n"/>
      <c r="I165">
        <f>VALUE(LEFT($G165,1))*VALUE(LEFT($H165,1))</f>
        <v/>
      </c>
      <c r="J165">
        <f>IF($I165&gt;=20,"Critical",IF($I165&gt;=15,"High",IF($I165&gt;=10,"Medium",IF($I165&gt;=5,"Low",IF($I165&gt;0,"Very Low","")))))</f>
        <v/>
      </c>
      <c r="K165" s="5" t="n"/>
      <c r="O165">
        <f>VALUE(LEFT($M165,1))*VALUE(LEFT($N165,1))</f>
        <v/>
      </c>
      <c r="P165">
        <f>IF($O165&gt;=20,"Critical",IF($O165&gt;=15,"High",IF($O165&gt;=10,"Medium",IF($O165&gt;=5,"Low",IF($O165&gt;0,"Very Low","")))))</f>
        <v/>
      </c>
      <c r="S165" s="5" t="n"/>
      <c r="V165" s="5" t="n"/>
      <c r="W165" s="6" t="n"/>
      <c r="X165" s="6" t="n"/>
      <c r="Z165" s="5" t="n"/>
    </row>
    <row r="166">
      <c r="D166" s="5" t="n"/>
      <c r="E166" s="5" t="n"/>
      <c r="F166" s="5" t="n"/>
      <c r="I166">
        <f>VALUE(LEFT($G166,1))*VALUE(LEFT($H166,1))</f>
        <v/>
      </c>
      <c r="J166">
        <f>IF($I166&gt;=20,"Critical",IF($I166&gt;=15,"High",IF($I166&gt;=10,"Medium",IF($I166&gt;=5,"Low",IF($I166&gt;0,"Very Low","")))))</f>
        <v/>
      </c>
      <c r="K166" s="5" t="n"/>
      <c r="O166">
        <f>VALUE(LEFT($M166,1))*VALUE(LEFT($N166,1))</f>
        <v/>
      </c>
      <c r="P166">
        <f>IF($O166&gt;=20,"Critical",IF($O166&gt;=15,"High",IF($O166&gt;=10,"Medium",IF($O166&gt;=5,"Low",IF($O166&gt;0,"Very Low","")))))</f>
        <v/>
      </c>
      <c r="S166" s="5" t="n"/>
      <c r="V166" s="5" t="n"/>
      <c r="W166" s="6" t="n"/>
      <c r="X166" s="6" t="n"/>
      <c r="Z166" s="5" t="n"/>
    </row>
    <row r="167">
      <c r="D167" s="5" t="n"/>
      <c r="E167" s="5" t="n"/>
      <c r="F167" s="5" t="n"/>
      <c r="I167">
        <f>VALUE(LEFT($G167,1))*VALUE(LEFT($H167,1))</f>
        <v/>
      </c>
      <c r="J167">
        <f>IF($I167&gt;=20,"Critical",IF($I167&gt;=15,"High",IF($I167&gt;=10,"Medium",IF($I167&gt;=5,"Low",IF($I167&gt;0,"Very Low","")))))</f>
        <v/>
      </c>
      <c r="K167" s="5" t="n"/>
      <c r="O167">
        <f>VALUE(LEFT($M167,1))*VALUE(LEFT($N167,1))</f>
        <v/>
      </c>
      <c r="P167">
        <f>IF($O167&gt;=20,"Critical",IF($O167&gt;=15,"High",IF($O167&gt;=10,"Medium",IF($O167&gt;=5,"Low",IF($O167&gt;0,"Very Low","")))))</f>
        <v/>
      </c>
      <c r="S167" s="5" t="n"/>
      <c r="V167" s="5" t="n"/>
      <c r="W167" s="6" t="n"/>
      <c r="X167" s="6" t="n"/>
      <c r="Z167" s="5" t="n"/>
    </row>
    <row r="168">
      <c r="D168" s="5" t="n"/>
      <c r="E168" s="5" t="n"/>
      <c r="F168" s="5" t="n"/>
      <c r="I168">
        <f>VALUE(LEFT($G168,1))*VALUE(LEFT($H168,1))</f>
        <v/>
      </c>
      <c r="J168">
        <f>IF($I168&gt;=20,"Critical",IF($I168&gt;=15,"High",IF($I168&gt;=10,"Medium",IF($I168&gt;=5,"Low",IF($I168&gt;0,"Very Low","")))))</f>
        <v/>
      </c>
      <c r="K168" s="5" t="n"/>
      <c r="O168">
        <f>VALUE(LEFT($M168,1))*VALUE(LEFT($N168,1))</f>
        <v/>
      </c>
      <c r="P168">
        <f>IF($O168&gt;=20,"Critical",IF($O168&gt;=15,"High",IF($O168&gt;=10,"Medium",IF($O168&gt;=5,"Low",IF($O168&gt;0,"Very Low","")))))</f>
        <v/>
      </c>
      <c r="S168" s="5" t="n"/>
      <c r="V168" s="5" t="n"/>
      <c r="W168" s="6" t="n"/>
      <c r="X168" s="6" t="n"/>
      <c r="Z168" s="5" t="n"/>
    </row>
    <row r="169">
      <c r="D169" s="5" t="n"/>
      <c r="E169" s="5" t="n"/>
      <c r="F169" s="5" t="n"/>
      <c r="I169">
        <f>VALUE(LEFT($G169,1))*VALUE(LEFT($H169,1))</f>
        <v/>
      </c>
      <c r="J169">
        <f>IF($I169&gt;=20,"Critical",IF($I169&gt;=15,"High",IF($I169&gt;=10,"Medium",IF($I169&gt;=5,"Low",IF($I169&gt;0,"Very Low","")))))</f>
        <v/>
      </c>
      <c r="K169" s="5" t="n"/>
      <c r="O169">
        <f>VALUE(LEFT($M169,1))*VALUE(LEFT($N169,1))</f>
        <v/>
      </c>
      <c r="P169">
        <f>IF($O169&gt;=20,"Critical",IF($O169&gt;=15,"High",IF($O169&gt;=10,"Medium",IF($O169&gt;=5,"Low",IF($O169&gt;0,"Very Low","")))))</f>
        <v/>
      </c>
      <c r="S169" s="5" t="n"/>
      <c r="V169" s="5" t="n"/>
      <c r="W169" s="6" t="n"/>
      <c r="X169" s="6" t="n"/>
      <c r="Z169" s="5" t="n"/>
    </row>
    <row r="170">
      <c r="D170" s="5" t="n"/>
      <c r="E170" s="5" t="n"/>
      <c r="F170" s="5" t="n"/>
      <c r="I170">
        <f>VALUE(LEFT($G170,1))*VALUE(LEFT($H170,1))</f>
        <v/>
      </c>
      <c r="J170">
        <f>IF($I170&gt;=20,"Critical",IF($I170&gt;=15,"High",IF($I170&gt;=10,"Medium",IF($I170&gt;=5,"Low",IF($I170&gt;0,"Very Low","")))))</f>
        <v/>
      </c>
      <c r="K170" s="5" t="n"/>
      <c r="O170">
        <f>VALUE(LEFT($M170,1))*VALUE(LEFT($N170,1))</f>
        <v/>
      </c>
      <c r="P170">
        <f>IF($O170&gt;=20,"Critical",IF($O170&gt;=15,"High",IF($O170&gt;=10,"Medium",IF($O170&gt;=5,"Low",IF($O170&gt;0,"Very Low","")))))</f>
        <v/>
      </c>
      <c r="S170" s="5" t="n"/>
      <c r="V170" s="5" t="n"/>
      <c r="W170" s="6" t="n"/>
      <c r="X170" s="6" t="n"/>
      <c r="Z170" s="5" t="n"/>
    </row>
    <row r="171">
      <c r="D171" s="5" t="n"/>
      <c r="E171" s="5" t="n"/>
      <c r="F171" s="5" t="n"/>
      <c r="I171">
        <f>VALUE(LEFT($G171,1))*VALUE(LEFT($H171,1))</f>
        <v/>
      </c>
      <c r="J171">
        <f>IF($I171&gt;=20,"Critical",IF($I171&gt;=15,"High",IF($I171&gt;=10,"Medium",IF($I171&gt;=5,"Low",IF($I171&gt;0,"Very Low","")))))</f>
        <v/>
      </c>
      <c r="K171" s="5" t="n"/>
      <c r="O171">
        <f>VALUE(LEFT($M171,1))*VALUE(LEFT($N171,1))</f>
        <v/>
      </c>
      <c r="P171">
        <f>IF($O171&gt;=20,"Critical",IF($O171&gt;=15,"High",IF($O171&gt;=10,"Medium",IF($O171&gt;=5,"Low",IF($O171&gt;0,"Very Low","")))))</f>
        <v/>
      </c>
      <c r="S171" s="5" t="n"/>
      <c r="V171" s="5" t="n"/>
      <c r="W171" s="6" t="n"/>
      <c r="X171" s="6" t="n"/>
      <c r="Z171" s="5" t="n"/>
    </row>
    <row r="172">
      <c r="D172" s="5" t="n"/>
      <c r="E172" s="5" t="n"/>
      <c r="F172" s="5" t="n"/>
      <c r="I172">
        <f>VALUE(LEFT($G172,1))*VALUE(LEFT($H172,1))</f>
        <v/>
      </c>
      <c r="J172">
        <f>IF($I172&gt;=20,"Critical",IF($I172&gt;=15,"High",IF($I172&gt;=10,"Medium",IF($I172&gt;=5,"Low",IF($I172&gt;0,"Very Low","")))))</f>
        <v/>
      </c>
      <c r="K172" s="5" t="n"/>
      <c r="O172">
        <f>VALUE(LEFT($M172,1))*VALUE(LEFT($N172,1))</f>
        <v/>
      </c>
      <c r="P172">
        <f>IF($O172&gt;=20,"Critical",IF($O172&gt;=15,"High",IF($O172&gt;=10,"Medium",IF($O172&gt;=5,"Low",IF($O172&gt;0,"Very Low","")))))</f>
        <v/>
      </c>
      <c r="S172" s="5" t="n"/>
      <c r="V172" s="5" t="n"/>
      <c r="W172" s="6" t="n"/>
      <c r="X172" s="6" t="n"/>
      <c r="Z172" s="5" t="n"/>
    </row>
    <row r="173">
      <c r="D173" s="5" t="n"/>
      <c r="E173" s="5" t="n"/>
      <c r="F173" s="5" t="n"/>
      <c r="I173">
        <f>VALUE(LEFT($G173,1))*VALUE(LEFT($H173,1))</f>
        <v/>
      </c>
      <c r="J173">
        <f>IF($I173&gt;=20,"Critical",IF($I173&gt;=15,"High",IF($I173&gt;=10,"Medium",IF($I173&gt;=5,"Low",IF($I173&gt;0,"Very Low","")))))</f>
        <v/>
      </c>
      <c r="K173" s="5" t="n"/>
      <c r="O173">
        <f>VALUE(LEFT($M173,1))*VALUE(LEFT($N173,1))</f>
        <v/>
      </c>
      <c r="P173">
        <f>IF($O173&gt;=20,"Critical",IF($O173&gt;=15,"High",IF($O173&gt;=10,"Medium",IF($O173&gt;=5,"Low",IF($O173&gt;0,"Very Low","")))))</f>
        <v/>
      </c>
      <c r="S173" s="5" t="n"/>
      <c r="V173" s="5" t="n"/>
      <c r="W173" s="6" t="n"/>
      <c r="X173" s="6" t="n"/>
      <c r="Z173" s="5" t="n"/>
    </row>
    <row r="174">
      <c r="D174" s="5" t="n"/>
      <c r="E174" s="5" t="n"/>
      <c r="F174" s="5" t="n"/>
      <c r="I174">
        <f>VALUE(LEFT($G174,1))*VALUE(LEFT($H174,1))</f>
        <v/>
      </c>
      <c r="J174">
        <f>IF($I174&gt;=20,"Critical",IF($I174&gt;=15,"High",IF($I174&gt;=10,"Medium",IF($I174&gt;=5,"Low",IF($I174&gt;0,"Very Low","")))))</f>
        <v/>
      </c>
      <c r="K174" s="5" t="n"/>
      <c r="O174">
        <f>VALUE(LEFT($M174,1))*VALUE(LEFT($N174,1))</f>
        <v/>
      </c>
      <c r="P174">
        <f>IF($O174&gt;=20,"Critical",IF($O174&gt;=15,"High",IF($O174&gt;=10,"Medium",IF($O174&gt;=5,"Low",IF($O174&gt;0,"Very Low","")))))</f>
        <v/>
      </c>
      <c r="S174" s="5" t="n"/>
      <c r="V174" s="5" t="n"/>
      <c r="W174" s="6" t="n"/>
      <c r="X174" s="6" t="n"/>
      <c r="Z174" s="5" t="n"/>
    </row>
    <row r="175">
      <c r="D175" s="5" t="n"/>
      <c r="E175" s="5" t="n"/>
      <c r="F175" s="5" t="n"/>
      <c r="I175">
        <f>VALUE(LEFT($G175,1))*VALUE(LEFT($H175,1))</f>
        <v/>
      </c>
      <c r="J175">
        <f>IF($I175&gt;=20,"Critical",IF($I175&gt;=15,"High",IF($I175&gt;=10,"Medium",IF($I175&gt;=5,"Low",IF($I175&gt;0,"Very Low","")))))</f>
        <v/>
      </c>
      <c r="K175" s="5" t="n"/>
      <c r="O175">
        <f>VALUE(LEFT($M175,1))*VALUE(LEFT($N175,1))</f>
        <v/>
      </c>
      <c r="P175">
        <f>IF($O175&gt;=20,"Critical",IF($O175&gt;=15,"High",IF($O175&gt;=10,"Medium",IF($O175&gt;=5,"Low",IF($O175&gt;0,"Very Low","")))))</f>
        <v/>
      </c>
      <c r="S175" s="5" t="n"/>
      <c r="V175" s="5" t="n"/>
      <c r="W175" s="6" t="n"/>
      <c r="X175" s="6" t="n"/>
      <c r="Z175" s="5" t="n"/>
    </row>
    <row r="176">
      <c r="D176" s="5" t="n"/>
      <c r="E176" s="5" t="n"/>
      <c r="F176" s="5" t="n"/>
      <c r="I176">
        <f>VALUE(LEFT($G176,1))*VALUE(LEFT($H176,1))</f>
        <v/>
      </c>
      <c r="J176">
        <f>IF($I176&gt;=20,"Critical",IF($I176&gt;=15,"High",IF($I176&gt;=10,"Medium",IF($I176&gt;=5,"Low",IF($I176&gt;0,"Very Low","")))))</f>
        <v/>
      </c>
      <c r="K176" s="5" t="n"/>
      <c r="O176">
        <f>VALUE(LEFT($M176,1))*VALUE(LEFT($N176,1))</f>
        <v/>
      </c>
      <c r="P176">
        <f>IF($O176&gt;=20,"Critical",IF($O176&gt;=15,"High",IF($O176&gt;=10,"Medium",IF($O176&gt;=5,"Low",IF($O176&gt;0,"Very Low","")))))</f>
        <v/>
      </c>
      <c r="S176" s="5" t="n"/>
      <c r="V176" s="5" t="n"/>
      <c r="W176" s="6" t="n"/>
      <c r="X176" s="6" t="n"/>
      <c r="Z176" s="5" t="n"/>
    </row>
    <row r="177">
      <c r="D177" s="5" t="n"/>
      <c r="E177" s="5" t="n"/>
      <c r="F177" s="5" t="n"/>
      <c r="I177">
        <f>VALUE(LEFT($G177,1))*VALUE(LEFT($H177,1))</f>
        <v/>
      </c>
      <c r="J177">
        <f>IF($I177&gt;=20,"Critical",IF($I177&gt;=15,"High",IF($I177&gt;=10,"Medium",IF($I177&gt;=5,"Low",IF($I177&gt;0,"Very Low","")))))</f>
        <v/>
      </c>
      <c r="K177" s="5" t="n"/>
      <c r="O177">
        <f>VALUE(LEFT($M177,1))*VALUE(LEFT($N177,1))</f>
        <v/>
      </c>
      <c r="P177">
        <f>IF($O177&gt;=20,"Critical",IF($O177&gt;=15,"High",IF($O177&gt;=10,"Medium",IF($O177&gt;=5,"Low",IF($O177&gt;0,"Very Low","")))))</f>
        <v/>
      </c>
      <c r="S177" s="5" t="n"/>
      <c r="V177" s="5" t="n"/>
      <c r="W177" s="6" t="n"/>
      <c r="X177" s="6" t="n"/>
      <c r="Z177" s="5" t="n"/>
    </row>
    <row r="178">
      <c r="D178" s="5" t="n"/>
      <c r="E178" s="5" t="n"/>
      <c r="F178" s="5" t="n"/>
      <c r="I178">
        <f>VALUE(LEFT($G178,1))*VALUE(LEFT($H178,1))</f>
        <v/>
      </c>
      <c r="J178">
        <f>IF($I178&gt;=20,"Critical",IF($I178&gt;=15,"High",IF($I178&gt;=10,"Medium",IF($I178&gt;=5,"Low",IF($I178&gt;0,"Very Low","")))))</f>
        <v/>
      </c>
      <c r="K178" s="5" t="n"/>
      <c r="O178">
        <f>VALUE(LEFT($M178,1))*VALUE(LEFT($N178,1))</f>
        <v/>
      </c>
      <c r="P178">
        <f>IF($O178&gt;=20,"Critical",IF($O178&gt;=15,"High",IF($O178&gt;=10,"Medium",IF($O178&gt;=5,"Low",IF($O178&gt;0,"Very Low","")))))</f>
        <v/>
      </c>
      <c r="S178" s="5" t="n"/>
      <c r="V178" s="5" t="n"/>
      <c r="W178" s="6" t="n"/>
      <c r="X178" s="6" t="n"/>
      <c r="Z178" s="5" t="n"/>
    </row>
    <row r="179">
      <c r="D179" s="5" t="n"/>
      <c r="E179" s="5" t="n"/>
      <c r="F179" s="5" t="n"/>
      <c r="I179">
        <f>VALUE(LEFT($G179,1))*VALUE(LEFT($H179,1))</f>
        <v/>
      </c>
      <c r="J179">
        <f>IF($I179&gt;=20,"Critical",IF($I179&gt;=15,"High",IF($I179&gt;=10,"Medium",IF($I179&gt;=5,"Low",IF($I179&gt;0,"Very Low","")))))</f>
        <v/>
      </c>
      <c r="K179" s="5" t="n"/>
      <c r="O179">
        <f>VALUE(LEFT($M179,1))*VALUE(LEFT($N179,1))</f>
        <v/>
      </c>
      <c r="P179">
        <f>IF($O179&gt;=20,"Critical",IF($O179&gt;=15,"High",IF($O179&gt;=10,"Medium",IF($O179&gt;=5,"Low",IF($O179&gt;0,"Very Low","")))))</f>
        <v/>
      </c>
      <c r="S179" s="5" t="n"/>
      <c r="V179" s="5" t="n"/>
      <c r="W179" s="6" t="n"/>
      <c r="X179" s="6" t="n"/>
      <c r="Z179" s="5" t="n"/>
    </row>
    <row r="180">
      <c r="D180" s="5" t="n"/>
      <c r="E180" s="5" t="n"/>
      <c r="F180" s="5" t="n"/>
      <c r="I180">
        <f>VALUE(LEFT($G180,1))*VALUE(LEFT($H180,1))</f>
        <v/>
      </c>
      <c r="J180">
        <f>IF($I180&gt;=20,"Critical",IF($I180&gt;=15,"High",IF($I180&gt;=10,"Medium",IF($I180&gt;=5,"Low",IF($I180&gt;0,"Very Low","")))))</f>
        <v/>
      </c>
      <c r="K180" s="5" t="n"/>
      <c r="O180">
        <f>VALUE(LEFT($M180,1))*VALUE(LEFT($N180,1))</f>
        <v/>
      </c>
      <c r="P180">
        <f>IF($O180&gt;=20,"Critical",IF($O180&gt;=15,"High",IF($O180&gt;=10,"Medium",IF($O180&gt;=5,"Low",IF($O180&gt;0,"Very Low","")))))</f>
        <v/>
      </c>
      <c r="S180" s="5" t="n"/>
      <c r="V180" s="5" t="n"/>
      <c r="W180" s="6" t="n"/>
      <c r="X180" s="6" t="n"/>
      <c r="Z180" s="5" t="n"/>
    </row>
    <row r="181">
      <c r="D181" s="5" t="n"/>
      <c r="E181" s="5" t="n"/>
      <c r="F181" s="5" t="n"/>
      <c r="I181">
        <f>VALUE(LEFT($G181,1))*VALUE(LEFT($H181,1))</f>
        <v/>
      </c>
      <c r="J181">
        <f>IF($I181&gt;=20,"Critical",IF($I181&gt;=15,"High",IF($I181&gt;=10,"Medium",IF($I181&gt;=5,"Low",IF($I181&gt;0,"Very Low","")))))</f>
        <v/>
      </c>
      <c r="K181" s="5" t="n"/>
      <c r="O181">
        <f>VALUE(LEFT($M181,1))*VALUE(LEFT($N181,1))</f>
        <v/>
      </c>
      <c r="P181">
        <f>IF($O181&gt;=20,"Critical",IF($O181&gt;=15,"High",IF($O181&gt;=10,"Medium",IF($O181&gt;=5,"Low",IF($O181&gt;0,"Very Low","")))))</f>
        <v/>
      </c>
      <c r="S181" s="5" t="n"/>
      <c r="V181" s="5" t="n"/>
      <c r="W181" s="6" t="n"/>
      <c r="X181" s="6" t="n"/>
      <c r="Z181" s="5" t="n"/>
    </row>
    <row r="182">
      <c r="D182" s="5" t="n"/>
      <c r="E182" s="5" t="n"/>
      <c r="F182" s="5" t="n"/>
      <c r="I182">
        <f>VALUE(LEFT($G182,1))*VALUE(LEFT($H182,1))</f>
        <v/>
      </c>
      <c r="J182">
        <f>IF($I182&gt;=20,"Critical",IF($I182&gt;=15,"High",IF($I182&gt;=10,"Medium",IF($I182&gt;=5,"Low",IF($I182&gt;0,"Very Low","")))))</f>
        <v/>
      </c>
      <c r="K182" s="5" t="n"/>
      <c r="O182">
        <f>VALUE(LEFT($M182,1))*VALUE(LEFT($N182,1))</f>
        <v/>
      </c>
      <c r="P182">
        <f>IF($O182&gt;=20,"Critical",IF($O182&gt;=15,"High",IF($O182&gt;=10,"Medium",IF($O182&gt;=5,"Low",IF($O182&gt;0,"Very Low","")))))</f>
        <v/>
      </c>
      <c r="S182" s="5" t="n"/>
      <c r="V182" s="5" t="n"/>
      <c r="W182" s="6" t="n"/>
      <c r="X182" s="6" t="n"/>
      <c r="Z182" s="5" t="n"/>
    </row>
    <row r="183">
      <c r="D183" s="5" t="n"/>
      <c r="E183" s="5" t="n"/>
      <c r="F183" s="5" t="n"/>
      <c r="I183">
        <f>VALUE(LEFT($G183,1))*VALUE(LEFT($H183,1))</f>
        <v/>
      </c>
      <c r="J183">
        <f>IF($I183&gt;=20,"Critical",IF($I183&gt;=15,"High",IF($I183&gt;=10,"Medium",IF($I183&gt;=5,"Low",IF($I183&gt;0,"Very Low","")))))</f>
        <v/>
      </c>
      <c r="K183" s="5" t="n"/>
      <c r="O183">
        <f>VALUE(LEFT($M183,1))*VALUE(LEFT($N183,1))</f>
        <v/>
      </c>
      <c r="P183">
        <f>IF($O183&gt;=20,"Critical",IF($O183&gt;=15,"High",IF($O183&gt;=10,"Medium",IF($O183&gt;=5,"Low",IF($O183&gt;0,"Very Low","")))))</f>
        <v/>
      </c>
      <c r="S183" s="5" t="n"/>
      <c r="V183" s="5" t="n"/>
      <c r="W183" s="6" t="n"/>
      <c r="X183" s="6" t="n"/>
      <c r="Z183" s="5" t="n"/>
    </row>
    <row r="184">
      <c r="D184" s="5" t="n"/>
      <c r="E184" s="5" t="n"/>
      <c r="F184" s="5" t="n"/>
      <c r="I184">
        <f>VALUE(LEFT($G184,1))*VALUE(LEFT($H184,1))</f>
        <v/>
      </c>
      <c r="J184">
        <f>IF($I184&gt;=20,"Critical",IF($I184&gt;=15,"High",IF($I184&gt;=10,"Medium",IF($I184&gt;=5,"Low",IF($I184&gt;0,"Very Low","")))))</f>
        <v/>
      </c>
      <c r="K184" s="5" t="n"/>
      <c r="O184">
        <f>VALUE(LEFT($M184,1))*VALUE(LEFT($N184,1))</f>
        <v/>
      </c>
      <c r="P184">
        <f>IF($O184&gt;=20,"Critical",IF($O184&gt;=15,"High",IF($O184&gt;=10,"Medium",IF($O184&gt;=5,"Low",IF($O184&gt;0,"Very Low","")))))</f>
        <v/>
      </c>
      <c r="S184" s="5" t="n"/>
      <c r="V184" s="5" t="n"/>
      <c r="W184" s="6" t="n"/>
      <c r="X184" s="6" t="n"/>
      <c r="Z184" s="5" t="n"/>
    </row>
    <row r="185">
      <c r="D185" s="5" t="n"/>
      <c r="E185" s="5" t="n"/>
      <c r="F185" s="5" t="n"/>
      <c r="I185">
        <f>VALUE(LEFT($G185,1))*VALUE(LEFT($H185,1))</f>
        <v/>
      </c>
      <c r="J185">
        <f>IF($I185&gt;=20,"Critical",IF($I185&gt;=15,"High",IF($I185&gt;=10,"Medium",IF($I185&gt;=5,"Low",IF($I185&gt;0,"Very Low","")))))</f>
        <v/>
      </c>
      <c r="K185" s="5" t="n"/>
      <c r="O185">
        <f>VALUE(LEFT($M185,1))*VALUE(LEFT($N185,1))</f>
        <v/>
      </c>
      <c r="P185">
        <f>IF($O185&gt;=20,"Critical",IF($O185&gt;=15,"High",IF($O185&gt;=10,"Medium",IF($O185&gt;=5,"Low",IF($O185&gt;0,"Very Low","")))))</f>
        <v/>
      </c>
      <c r="S185" s="5" t="n"/>
      <c r="V185" s="5" t="n"/>
      <c r="W185" s="6" t="n"/>
      <c r="X185" s="6" t="n"/>
      <c r="Z185" s="5" t="n"/>
    </row>
    <row r="186">
      <c r="D186" s="5" t="n"/>
      <c r="E186" s="5" t="n"/>
      <c r="F186" s="5" t="n"/>
      <c r="I186">
        <f>VALUE(LEFT($G186,1))*VALUE(LEFT($H186,1))</f>
        <v/>
      </c>
      <c r="J186">
        <f>IF($I186&gt;=20,"Critical",IF($I186&gt;=15,"High",IF($I186&gt;=10,"Medium",IF($I186&gt;=5,"Low",IF($I186&gt;0,"Very Low","")))))</f>
        <v/>
      </c>
      <c r="K186" s="5" t="n"/>
      <c r="O186">
        <f>VALUE(LEFT($M186,1))*VALUE(LEFT($N186,1))</f>
        <v/>
      </c>
      <c r="P186">
        <f>IF($O186&gt;=20,"Critical",IF($O186&gt;=15,"High",IF($O186&gt;=10,"Medium",IF($O186&gt;=5,"Low",IF($O186&gt;0,"Very Low","")))))</f>
        <v/>
      </c>
      <c r="S186" s="5" t="n"/>
      <c r="V186" s="5" t="n"/>
      <c r="W186" s="6" t="n"/>
      <c r="X186" s="6" t="n"/>
      <c r="Z186" s="5" t="n"/>
    </row>
    <row r="187">
      <c r="D187" s="5" t="n"/>
      <c r="E187" s="5" t="n"/>
      <c r="F187" s="5" t="n"/>
      <c r="I187">
        <f>VALUE(LEFT($G187,1))*VALUE(LEFT($H187,1))</f>
        <v/>
      </c>
      <c r="J187">
        <f>IF($I187&gt;=20,"Critical",IF($I187&gt;=15,"High",IF($I187&gt;=10,"Medium",IF($I187&gt;=5,"Low",IF($I187&gt;0,"Very Low","")))))</f>
        <v/>
      </c>
      <c r="K187" s="5" t="n"/>
      <c r="O187">
        <f>VALUE(LEFT($M187,1))*VALUE(LEFT($N187,1))</f>
        <v/>
      </c>
      <c r="P187">
        <f>IF($O187&gt;=20,"Critical",IF($O187&gt;=15,"High",IF($O187&gt;=10,"Medium",IF($O187&gt;=5,"Low",IF($O187&gt;0,"Very Low","")))))</f>
        <v/>
      </c>
      <c r="S187" s="5" t="n"/>
      <c r="V187" s="5" t="n"/>
      <c r="W187" s="6" t="n"/>
      <c r="X187" s="6" t="n"/>
      <c r="Z187" s="5" t="n"/>
    </row>
    <row r="188">
      <c r="D188" s="5" t="n"/>
      <c r="E188" s="5" t="n"/>
      <c r="F188" s="5" t="n"/>
      <c r="I188">
        <f>VALUE(LEFT($G188,1))*VALUE(LEFT($H188,1))</f>
        <v/>
      </c>
      <c r="J188">
        <f>IF($I188&gt;=20,"Critical",IF($I188&gt;=15,"High",IF($I188&gt;=10,"Medium",IF($I188&gt;=5,"Low",IF($I188&gt;0,"Very Low","")))))</f>
        <v/>
      </c>
      <c r="K188" s="5" t="n"/>
      <c r="O188">
        <f>VALUE(LEFT($M188,1))*VALUE(LEFT($N188,1))</f>
        <v/>
      </c>
      <c r="P188">
        <f>IF($O188&gt;=20,"Critical",IF($O188&gt;=15,"High",IF($O188&gt;=10,"Medium",IF($O188&gt;=5,"Low",IF($O188&gt;0,"Very Low","")))))</f>
        <v/>
      </c>
      <c r="S188" s="5" t="n"/>
      <c r="V188" s="5" t="n"/>
      <c r="W188" s="6" t="n"/>
      <c r="X188" s="6" t="n"/>
      <c r="Z188" s="5" t="n"/>
    </row>
    <row r="189">
      <c r="D189" s="5" t="n"/>
      <c r="E189" s="5" t="n"/>
      <c r="F189" s="5" t="n"/>
      <c r="I189">
        <f>VALUE(LEFT($G189,1))*VALUE(LEFT($H189,1))</f>
        <v/>
      </c>
      <c r="J189">
        <f>IF($I189&gt;=20,"Critical",IF($I189&gt;=15,"High",IF($I189&gt;=10,"Medium",IF($I189&gt;=5,"Low",IF($I189&gt;0,"Very Low","")))))</f>
        <v/>
      </c>
      <c r="K189" s="5" t="n"/>
      <c r="O189">
        <f>VALUE(LEFT($M189,1))*VALUE(LEFT($N189,1))</f>
        <v/>
      </c>
      <c r="P189">
        <f>IF($O189&gt;=20,"Critical",IF($O189&gt;=15,"High",IF($O189&gt;=10,"Medium",IF($O189&gt;=5,"Low",IF($O189&gt;0,"Very Low","")))))</f>
        <v/>
      </c>
      <c r="S189" s="5" t="n"/>
      <c r="V189" s="5" t="n"/>
      <c r="W189" s="6" t="n"/>
      <c r="X189" s="6" t="n"/>
      <c r="Z189" s="5" t="n"/>
    </row>
    <row r="190">
      <c r="D190" s="5" t="n"/>
      <c r="E190" s="5" t="n"/>
      <c r="F190" s="5" t="n"/>
      <c r="I190">
        <f>VALUE(LEFT($G190,1))*VALUE(LEFT($H190,1))</f>
        <v/>
      </c>
      <c r="J190">
        <f>IF($I190&gt;=20,"Critical",IF($I190&gt;=15,"High",IF($I190&gt;=10,"Medium",IF($I190&gt;=5,"Low",IF($I190&gt;0,"Very Low","")))))</f>
        <v/>
      </c>
      <c r="K190" s="5" t="n"/>
      <c r="O190">
        <f>VALUE(LEFT($M190,1))*VALUE(LEFT($N190,1))</f>
        <v/>
      </c>
      <c r="P190">
        <f>IF($O190&gt;=20,"Critical",IF($O190&gt;=15,"High",IF($O190&gt;=10,"Medium",IF($O190&gt;=5,"Low",IF($O190&gt;0,"Very Low","")))))</f>
        <v/>
      </c>
      <c r="S190" s="5" t="n"/>
      <c r="V190" s="5" t="n"/>
      <c r="W190" s="6" t="n"/>
      <c r="X190" s="6" t="n"/>
      <c r="Z190" s="5" t="n"/>
    </row>
    <row r="191">
      <c r="D191" s="5" t="n"/>
      <c r="E191" s="5" t="n"/>
      <c r="F191" s="5" t="n"/>
      <c r="I191">
        <f>VALUE(LEFT($G191,1))*VALUE(LEFT($H191,1))</f>
        <v/>
      </c>
      <c r="J191">
        <f>IF($I191&gt;=20,"Critical",IF($I191&gt;=15,"High",IF($I191&gt;=10,"Medium",IF($I191&gt;=5,"Low",IF($I191&gt;0,"Very Low","")))))</f>
        <v/>
      </c>
      <c r="K191" s="5" t="n"/>
      <c r="O191">
        <f>VALUE(LEFT($M191,1))*VALUE(LEFT($N191,1))</f>
        <v/>
      </c>
      <c r="P191">
        <f>IF($O191&gt;=20,"Critical",IF($O191&gt;=15,"High",IF($O191&gt;=10,"Medium",IF($O191&gt;=5,"Low",IF($O191&gt;0,"Very Low","")))))</f>
        <v/>
      </c>
      <c r="S191" s="5" t="n"/>
      <c r="V191" s="5" t="n"/>
      <c r="W191" s="6" t="n"/>
      <c r="X191" s="6" t="n"/>
      <c r="Z191" s="5" t="n"/>
    </row>
    <row r="192">
      <c r="D192" s="5" t="n"/>
      <c r="E192" s="5" t="n"/>
      <c r="F192" s="5" t="n"/>
      <c r="I192">
        <f>VALUE(LEFT($G192,1))*VALUE(LEFT($H192,1))</f>
        <v/>
      </c>
      <c r="J192">
        <f>IF($I192&gt;=20,"Critical",IF($I192&gt;=15,"High",IF($I192&gt;=10,"Medium",IF($I192&gt;=5,"Low",IF($I192&gt;0,"Very Low","")))))</f>
        <v/>
      </c>
      <c r="K192" s="5" t="n"/>
      <c r="O192">
        <f>VALUE(LEFT($M192,1))*VALUE(LEFT($N192,1))</f>
        <v/>
      </c>
      <c r="P192">
        <f>IF($O192&gt;=20,"Critical",IF($O192&gt;=15,"High",IF($O192&gt;=10,"Medium",IF($O192&gt;=5,"Low",IF($O192&gt;0,"Very Low","")))))</f>
        <v/>
      </c>
      <c r="S192" s="5" t="n"/>
      <c r="V192" s="5" t="n"/>
      <c r="W192" s="6" t="n"/>
      <c r="X192" s="6" t="n"/>
      <c r="Z192" s="5" t="n"/>
    </row>
    <row r="193">
      <c r="D193" s="5" t="n"/>
      <c r="E193" s="5" t="n"/>
      <c r="F193" s="5" t="n"/>
      <c r="I193">
        <f>VALUE(LEFT($G193,1))*VALUE(LEFT($H193,1))</f>
        <v/>
      </c>
      <c r="J193">
        <f>IF($I193&gt;=20,"Critical",IF($I193&gt;=15,"High",IF($I193&gt;=10,"Medium",IF($I193&gt;=5,"Low",IF($I193&gt;0,"Very Low","")))))</f>
        <v/>
      </c>
      <c r="K193" s="5" t="n"/>
      <c r="O193">
        <f>VALUE(LEFT($M193,1))*VALUE(LEFT($N193,1))</f>
        <v/>
      </c>
      <c r="P193">
        <f>IF($O193&gt;=20,"Critical",IF($O193&gt;=15,"High",IF($O193&gt;=10,"Medium",IF($O193&gt;=5,"Low",IF($O193&gt;0,"Very Low","")))))</f>
        <v/>
      </c>
      <c r="S193" s="5" t="n"/>
      <c r="V193" s="5" t="n"/>
      <c r="W193" s="6" t="n"/>
      <c r="X193" s="6" t="n"/>
      <c r="Z193" s="5" t="n"/>
    </row>
    <row r="194">
      <c r="D194" s="5" t="n"/>
      <c r="E194" s="5" t="n"/>
      <c r="F194" s="5" t="n"/>
      <c r="I194">
        <f>VALUE(LEFT($G194,1))*VALUE(LEFT($H194,1))</f>
        <v/>
      </c>
      <c r="J194">
        <f>IF($I194&gt;=20,"Critical",IF($I194&gt;=15,"High",IF($I194&gt;=10,"Medium",IF($I194&gt;=5,"Low",IF($I194&gt;0,"Very Low","")))))</f>
        <v/>
      </c>
      <c r="K194" s="5" t="n"/>
      <c r="O194">
        <f>VALUE(LEFT($M194,1))*VALUE(LEFT($N194,1))</f>
        <v/>
      </c>
      <c r="P194">
        <f>IF($O194&gt;=20,"Critical",IF($O194&gt;=15,"High",IF($O194&gt;=10,"Medium",IF($O194&gt;=5,"Low",IF($O194&gt;0,"Very Low","")))))</f>
        <v/>
      </c>
      <c r="S194" s="5" t="n"/>
      <c r="V194" s="5" t="n"/>
      <c r="W194" s="6" t="n"/>
      <c r="X194" s="6" t="n"/>
      <c r="Z194" s="5" t="n"/>
    </row>
    <row r="195">
      <c r="D195" s="5" t="n"/>
      <c r="E195" s="5" t="n"/>
      <c r="F195" s="5" t="n"/>
      <c r="I195">
        <f>VALUE(LEFT($G195,1))*VALUE(LEFT($H195,1))</f>
        <v/>
      </c>
      <c r="J195">
        <f>IF($I195&gt;=20,"Critical",IF($I195&gt;=15,"High",IF($I195&gt;=10,"Medium",IF($I195&gt;=5,"Low",IF($I195&gt;0,"Very Low","")))))</f>
        <v/>
      </c>
      <c r="K195" s="5" t="n"/>
      <c r="O195">
        <f>VALUE(LEFT($M195,1))*VALUE(LEFT($N195,1))</f>
        <v/>
      </c>
      <c r="P195">
        <f>IF($O195&gt;=20,"Critical",IF($O195&gt;=15,"High",IF($O195&gt;=10,"Medium",IF($O195&gt;=5,"Low",IF($O195&gt;0,"Very Low","")))))</f>
        <v/>
      </c>
      <c r="S195" s="5" t="n"/>
      <c r="V195" s="5" t="n"/>
      <c r="W195" s="6" t="n"/>
      <c r="X195" s="6" t="n"/>
      <c r="Z195" s="5" t="n"/>
    </row>
    <row r="196">
      <c r="D196" s="5" t="n"/>
      <c r="E196" s="5" t="n"/>
      <c r="F196" s="5" t="n"/>
      <c r="I196">
        <f>VALUE(LEFT($G196,1))*VALUE(LEFT($H196,1))</f>
        <v/>
      </c>
      <c r="J196">
        <f>IF($I196&gt;=20,"Critical",IF($I196&gt;=15,"High",IF($I196&gt;=10,"Medium",IF($I196&gt;=5,"Low",IF($I196&gt;0,"Very Low","")))))</f>
        <v/>
      </c>
      <c r="K196" s="5" t="n"/>
      <c r="O196">
        <f>VALUE(LEFT($M196,1))*VALUE(LEFT($N196,1))</f>
        <v/>
      </c>
      <c r="P196">
        <f>IF($O196&gt;=20,"Critical",IF($O196&gt;=15,"High",IF($O196&gt;=10,"Medium",IF($O196&gt;=5,"Low",IF($O196&gt;0,"Very Low","")))))</f>
        <v/>
      </c>
      <c r="S196" s="5" t="n"/>
      <c r="V196" s="5" t="n"/>
      <c r="W196" s="6" t="n"/>
      <c r="X196" s="6" t="n"/>
      <c r="Z196" s="5" t="n"/>
    </row>
    <row r="197">
      <c r="D197" s="5" t="n"/>
      <c r="E197" s="5" t="n"/>
      <c r="F197" s="5" t="n"/>
      <c r="I197">
        <f>VALUE(LEFT($G197,1))*VALUE(LEFT($H197,1))</f>
        <v/>
      </c>
      <c r="J197">
        <f>IF($I197&gt;=20,"Critical",IF($I197&gt;=15,"High",IF($I197&gt;=10,"Medium",IF($I197&gt;=5,"Low",IF($I197&gt;0,"Very Low","")))))</f>
        <v/>
      </c>
      <c r="K197" s="5" t="n"/>
      <c r="O197">
        <f>VALUE(LEFT($M197,1))*VALUE(LEFT($N197,1))</f>
        <v/>
      </c>
      <c r="P197">
        <f>IF($O197&gt;=20,"Critical",IF($O197&gt;=15,"High",IF($O197&gt;=10,"Medium",IF($O197&gt;=5,"Low",IF($O197&gt;0,"Very Low","")))))</f>
        <v/>
      </c>
      <c r="S197" s="5" t="n"/>
      <c r="V197" s="5" t="n"/>
      <c r="W197" s="6" t="n"/>
      <c r="X197" s="6" t="n"/>
      <c r="Z197" s="5" t="n"/>
    </row>
    <row r="198">
      <c r="D198" s="5" t="n"/>
      <c r="E198" s="5" t="n"/>
      <c r="F198" s="5" t="n"/>
      <c r="I198">
        <f>VALUE(LEFT($G198,1))*VALUE(LEFT($H198,1))</f>
        <v/>
      </c>
      <c r="J198">
        <f>IF($I198&gt;=20,"Critical",IF($I198&gt;=15,"High",IF($I198&gt;=10,"Medium",IF($I198&gt;=5,"Low",IF($I198&gt;0,"Very Low","")))))</f>
        <v/>
      </c>
      <c r="K198" s="5" t="n"/>
      <c r="O198">
        <f>VALUE(LEFT($M198,1))*VALUE(LEFT($N198,1))</f>
        <v/>
      </c>
      <c r="P198">
        <f>IF($O198&gt;=20,"Critical",IF($O198&gt;=15,"High",IF($O198&gt;=10,"Medium",IF($O198&gt;=5,"Low",IF($O198&gt;0,"Very Low","")))))</f>
        <v/>
      </c>
      <c r="S198" s="5" t="n"/>
      <c r="V198" s="5" t="n"/>
      <c r="W198" s="6" t="n"/>
      <c r="X198" s="6" t="n"/>
      <c r="Z198" s="5" t="n"/>
    </row>
    <row r="199">
      <c r="D199" s="5" t="n"/>
      <c r="E199" s="5" t="n"/>
      <c r="F199" s="5" t="n"/>
      <c r="I199">
        <f>VALUE(LEFT($G199,1))*VALUE(LEFT($H199,1))</f>
        <v/>
      </c>
      <c r="J199">
        <f>IF($I199&gt;=20,"Critical",IF($I199&gt;=15,"High",IF($I199&gt;=10,"Medium",IF($I199&gt;=5,"Low",IF($I199&gt;0,"Very Low","")))))</f>
        <v/>
      </c>
      <c r="K199" s="5" t="n"/>
      <c r="O199">
        <f>VALUE(LEFT($M199,1))*VALUE(LEFT($N199,1))</f>
        <v/>
      </c>
      <c r="P199">
        <f>IF($O199&gt;=20,"Critical",IF($O199&gt;=15,"High",IF($O199&gt;=10,"Medium",IF($O199&gt;=5,"Low",IF($O199&gt;0,"Very Low","")))))</f>
        <v/>
      </c>
      <c r="S199" s="5" t="n"/>
      <c r="V199" s="5" t="n"/>
      <c r="W199" s="6" t="n"/>
      <c r="X199" s="6" t="n"/>
      <c r="Z199" s="5" t="n"/>
    </row>
    <row r="200">
      <c r="D200" s="5" t="n"/>
      <c r="E200" s="5" t="n"/>
      <c r="F200" s="5" t="n"/>
      <c r="I200">
        <f>VALUE(LEFT($G200,1))*VALUE(LEFT($H200,1))</f>
        <v/>
      </c>
      <c r="J200">
        <f>IF($I200&gt;=20,"Critical",IF($I200&gt;=15,"High",IF($I200&gt;=10,"Medium",IF($I200&gt;=5,"Low",IF($I200&gt;0,"Very Low","")))))</f>
        <v/>
      </c>
      <c r="K200" s="5" t="n"/>
      <c r="O200">
        <f>VALUE(LEFT($M200,1))*VALUE(LEFT($N200,1))</f>
        <v/>
      </c>
      <c r="P200">
        <f>IF($O200&gt;=20,"Critical",IF($O200&gt;=15,"High",IF($O200&gt;=10,"Medium",IF($O200&gt;=5,"Low",IF($O200&gt;0,"Very Low","")))))</f>
        <v/>
      </c>
      <c r="S200" s="5" t="n"/>
      <c r="V200" s="5" t="n"/>
      <c r="W200" s="6" t="n"/>
      <c r="X200" s="6" t="n"/>
      <c r="Z200" s="5" t="n"/>
    </row>
    <row r="201">
      <c r="D201" s="5" t="n"/>
      <c r="E201" s="5" t="n"/>
      <c r="F201" s="5" t="n"/>
      <c r="I201">
        <f>VALUE(LEFT($G201,1))*VALUE(LEFT($H201,1))</f>
        <v/>
      </c>
      <c r="J201">
        <f>IF($I201&gt;=20,"Critical",IF($I201&gt;=15,"High",IF($I201&gt;=10,"Medium",IF($I201&gt;=5,"Low",IF($I201&gt;0,"Very Low","")))))</f>
        <v/>
      </c>
      <c r="K201" s="5" t="n"/>
      <c r="O201">
        <f>VALUE(LEFT($M201,1))*VALUE(LEFT($N201,1))</f>
        <v/>
      </c>
      <c r="P201">
        <f>IF($O201&gt;=20,"Critical",IF($O201&gt;=15,"High",IF($O201&gt;=10,"Medium",IF($O201&gt;=5,"Low",IF($O201&gt;0,"Very Low","")))))</f>
        <v/>
      </c>
      <c r="S201" s="5" t="n"/>
      <c r="V201" s="5" t="n"/>
      <c r="W201" s="6" t="n"/>
      <c r="X201" s="6" t="n"/>
      <c r="Z201" s="5" t="n"/>
    </row>
    <row r="202">
      <c r="D202" s="5" t="n"/>
      <c r="E202" s="5" t="n"/>
      <c r="F202" s="5" t="n"/>
      <c r="I202">
        <f>VALUE(LEFT($G202,1))*VALUE(LEFT($H202,1))</f>
        <v/>
      </c>
      <c r="J202">
        <f>IF($I202&gt;=20,"Critical",IF($I202&gt;=15,"High",IF($I202&gt;=10,"Medium",IF($I202&gt;=5,"Low",IF($I202&gt;0,"Very Low","")))))</f>
        <v/>
      </c>
      <c r="K202" s="5" t="n"/>
      <c r="O202">
        <f>VALUE(LEFT($M202,1))*VALUE(LEFT($N202,1))</f>
        <v/>
      </c>
      <c r="P202">
        <f>IF($O202&gt;=20,"Critical",IF($O202&gt;=15,"High",IF($O202&gt;=10,"Medium",IF($O202&gt;=5,"Low",IF($O202&gt;0,"Very Low","")))))</f>
        <v/>
      </c>
      <c r="S202" s="5" t="n"/>
      <c r="V202" s="5" t="n"/>
      <c r="W202" s="6" t="n"/>
      <c r="X202" s="6" t="n"/>
      <c r="Z202" s="5" t="n"/>
    </row>
    <row r="203">
      <c r="D203" s="5" t="n"/>
      <c r="E203" s="5" t="n"/>
      <c r="F203" s="5" t="n"/>
      <c r="I203">
        <f>VALUE(LEFT($G203,1))*VALUE(LEFT($H203,1))</f>
        <v/>
      </c>
      <c r="J203">
        <f>IF($I203&gt;=20,"Critical",IF($I203&gt;=15,"High",IF($I203&gt;=10,"Medium",IF($I203&gt;=5,"Low",IF($I203&gt;0,"Very Low","")))))</f>
        <v/>
      </c>
      <c r="K203" s="5" t="n"/>
      <c r="O203">
        <f>VALUE(LEFT($M203,1))*VALUE(LEFT($N203,1))</f>
        <v/>
      </c>
      <c r="P203">
        <f>IF($O203&gt;=20,"Critical",IF($O203&gt;=15,"High",IF($O203&gt;=10,"Medium",IF($O203&gt;=5,"Low",IF($O203&gt;0,"Very Low","")))))</f>
        <v/>
      </c>
      <c r="S203" s="5" t="n"/>
      <c r="V203" s="5" t="n"/>
      <c r="W203" s="6" t="n"/>
      <c r="X203" s="6" t="n"/>
      <c r="Z203" s="5" t="n"/>
    </row>
    <row r="204">
      <c r="D204" s="5" t="n"/>
      <c r="E204" s="5" t="n"/>
      <c r="F204" s="5" t="n"/>
      <c r="I204">
        <f>VALUE(LEFT($G204,1))*VALUE(LEFT($H204,1))</f>
        <v/>
      </c>
      <c r="J204">
        <f>IF($I204&gt;=20,"Critical",IF($I204&gt;=15,"High",IF($I204&gt;=10,"Medium",IF($I204&gt;=5,"Low",IF($I204&gt;0,"Very Low","")))))</f>
        <v/>
      </c>
      <c r="K204" s="5" t="n"/>
      <c r="O204">
        <f>VALUE(LEFT($M204,1))*VALUE(LEFT($N204,1))</f>
        <v/>
      </c>
      <c r="P204">
        <f>IF($O204&gt;=20,"Critical",IF($O204&gt;=15,"High",IF($O204&gt;=10,"Medium",IF($O204&gt;=5,"Low",IF($O204&gt;0,"Very Low","")))))</f>
        <v/>
      </c>
      <c r="S204" s="5" t="n"/>
      <c r="V204" s="5" t="n"/>
      <c r="W204" s="6" t="n"/>
      <c r="X204" s="6" t="n"/>
      <c r="Z204" s="5" t="n"/>
    </row>
    <row r="205">
      <c r="D205" s="5" t="n"/>
      <c r="E205" s="5" t="n"/>
      <c r="F205" s="5" t="n"/>
      <c r="I205">
        <f>VALUE(LEFT($G205,1))*VALUE(LEFT($H205,1))</f>
        <v/>
      </c>
      <c r="J205">
        <f>IF($I205&gt;=20,"Critical",IF($I205&gt;=15,"High",IF($I205&gt;=10,"Medium",IF($I205&gt;=5,"Low",IF($I205&gt;0,"Very Low","")))))</f>
        <v/>
      </c>
      <c r="K205" s="5" t="n"/>
      <c r="O205">
        <f>VALUE(LEFT($M205,1))*VALUE(LEFT($N205,1))</f>
        <v/>
      </c>
      <c r="P205">
        <f>IF($O205&gt;=20,"Critical",IF($O205&gt;=15,"High",IF($O205&gt;=10,"Medium",IF($O205&gt;=5,"Low",IF($O205&gt;0,"Very Low","")))))</f>
        <v/>
      </c>
      <c r="S205" s="5" t="n"/>
      <c r="V205" s="5" t="n"/>
      <c r="W205" s="6" t="n"/>
      <c r="X205" s="6" t="n"/>
      <c r="Z205" s="5" t="n"/>
    </row>
    <row r="206">
      <c r="D206" s="5" t="n"/>
      <c r="E206" s="5" t="n"/>
      <c r="F206" s="5" t="n"/>
      <c r="I206">
        <f>VALUE(LEFT($G206,1))*VALUE(LEFT($H206,1))</f>
        <v/>
      </c>
      <c r="J206">
        <f>IF($I206&gt;=20,"Critical",IF($I206&gt;=15,"High",IF($I206&gt;=10,"Medium",IF($I206&gt;=5,"Low",IF($I206&gt;0,"Very Low","")))))</f>
        <v/>
      </c>
      <c r="K206" s="5" t="n"/>
      <c r="O206">
        <f>VALUE(LEFT($M206,1))*VALUE(LEFT($N206,1))</f>
        <v/>
      </c>
      <c r="P206">
        <f>IF($O206&gt;=20,"Critical",IF($O206&gt;=15,"High",IF($O206&gt;=10,"Medium",IF($O206&gt;=5,"Low",IF($O206&gt;0,"Very Low","")))))</f>
        <v/>
      </c>
      <c r="S206" s="5" t="n"/>
      <c r="V206" s="5" t="n"/>
      <c r="W206" s="6" t="n"/>
      <c r="X206" s="6" t="n"/>
      <c r="Z206" s="5" t="n"/>
    </row>
    <row r="207">
      <c r="D207" s="5" t="n"/>
      <c r="E207" s="5" t="n"/>
      <c r="F207" s="5" t="n"/>
      <c r="I207">
        <f>VALUE(LEFT($G207,1))*VALUE(LEFT($H207,1))</f>
        <v/>
      </c>
      <c r="J207">
        <f>IF($I207&gt;=20,"Critical",IF($I207&gt;=15,"High",IF($I207&gt;=10,"Medium",IF($I207&gt;=5,"Low",IF($I207&gt;0,"Very Low","")))))</f>
        <v/>
      </c>
      <c r="K207" s="5" t="n"/>
      <c r="O207">
        <f>VALUE(LEFT($M207,1))*VALUE(LEFT($N207,1))</f>
        <v/>
      </c>
      <c r="P207">
        <f>IF($O207&gt;=20,"Critical",IF($O207&gt;=15,"High",IF($O207&gt;=10,"Medium",IF($O207&gt;=5,"Low",IF($O207&gt;0,"Very Low","")))))</f>
        <v/>
      </c>
      <c r="S207" s="5" t="n"/>
      <c r="V207" s="5" t="n"/>
      <c r="W207" s="6" t="n"/>
      <c r="X207" s="6" t="n"/>
      <c r="Z207" s="5" t="n"/>
    </row>
    <row r="208">
      <c r="D208" s="5" t="n"/>
      <c r="E208" s="5" t="n"/>
      <c r="F208" s="5" t="n"/>
      <c r="I208">
        <f>VALUE(LEFT($G208,1))*VALUE(LEFT($H208,1))</f>
        <v/>
      </c>
      <c r="J208">
        <f>IF($I208&gt;=20,"Critical",IF($I208&gt;=15,"High",IF($I208&gt;=10,"Medium",IF($I208&gt;=5,"Low",IF($I208&gt;0,"Very Low","")))))</f>
        <v/>
      </c>
      <c r="K208" s="5" t="n"/>
      <c r="O208">
        <f>VALUE(LEFT($M208,1))*VALUE(LEFT($N208,1))</f>
        <v/>
      </c>
      <c r="P208">
        <f>IF($O208&gt;=20,"Critical",IF($O208&gt;=15,"High",IF($O208&gt;=10,"Medium",IF($O208&gt;=5,"Low",IF($O208&gt;0,"Very Low","")))))</f>
        <v/>
      </c>
      <c r="S208" s="5" t="n"/>
      <c r="V208" s="5" t="n"/>
      <c r="W208" s="6" t="n"/>
      <c r="X208" s="6" t="n"/>
      <c r="Z208" s="5" t="n"/>
    </row>
    <row r="209">
      <c r="D209" s="5" t="n"/>
      <c r="E209" s="5" t="n"/>
      <c r="F209" s="5" t="n"/>
      <c r="I209">
        <f>VALUE(LEFT($G209,1))*VALUE(LEFT($H209,1))</f>
        <v/>
      </c>
      <c r="J209">
        <f>IF($I209&gt;=20,"Critical",IF($I209&gt;=15,"High",IF($I209&gt;=10,"Medium",IF($I209&gt;=5,"Low",IF($I209&gt;0,"Very Low","")))))</f>
        <v/>
      </c>
      <c r="K209" s="5" t="n"/>
      <c r="O209">
        <f>VALUE(LEFT($M209,1))*VALUE(LEFT($N209,1))</f>
        <v/>
      </c>
      <c r="P209">
        <f>IF($O209&gt;=20,"Critical",IF($O209&gt;=15,"High",IF($O209&gt;=10,"Medium",IF($O209&gt;=5,"Low",IF($O209&gt;0,"Very Low","")))))</f>
        <v/>
      </c>
      <c r="S209" s="5" t="n"/>
      <c r="V209" s="5" t="n"/>
      <c r="W209" s="6" t="n"/>
      <c r="X209" s="6" t="n"/>
      <c r="Z209" s="5" t="n"/>
    </row>
    <row r="210">
      <c r="D210" s="5" t="n"/>
      <c r="E210" s="5" t="n"/>
      <c r="F210" s="5" t="n"/>
      <c r="I210">
        <f>VALUE(LEFT($G210,1))*VALUE(LEFT($H210,1))</f>
        <v/>
      </c>
      <c r="J210">
        <f>IF($I210&gt;=20,"Critical",IF($I210&gt;=15,"High",IF($I210&gt;=10,"Medium",IF($I210&gt;=5,"Low",IF($I210&gt;0,"Very Low","")))))</f>
        <v/>
      </c>
      <c r="K210" s="5" t="n"/>
      <c r="O210">
        <f>VALUE(LEFT($M210,1))*VALUE(LEFT($N210,1))</f>
        <v/>
      </c>
      <c r="P210">
        <f>IF($O210&gt;=20,"Critical",IF($O210&gt;=15,"High",IF($O210&gt;=10,"Medium",IF($O210&gt;=5,"Low",IF($O210&gt;0,"Very Low","")))))</f>
        <v/>
      </c>
      <c r="S210" s="5" t="n"/>
      <c r="V210" s="5" t="n"/>
      <c r="W210" s="6" t="n"/>
      <c r="X210" s="6" t="n"/>
      <c r="Z210" s="5" t="n"/>
    </row>
    <row r="211">
      <c r="D211" s="5" t="n"/>
      <c r="E211" s="5" t="n"/>
      <c r="F211" s="5" t="n"/>
      <c r="I211">
        <f>VALUE(LEFT($G211,1))*VALUE(LEFT($H211,1))</f>
        <v/>
      </c>
      <c r="J211">
        <f>IF($I211&gt;=20,"Critical",IF($I211&gt;=15,"High",IF($I211&gt;=10,"Medium",IF($I211&gt;=5,"Low",IF($I211&gt;0,"Very Low","")))))</f>
        <v/>
      </c>
      <c r="K211" s="5" t="n"/>
      <c r="O211">
        <f>VALUE(LEFT($M211,1))*VALUE(LEFT($N211,1))</f>
        <v/>
      </c>
      <c r="P211">
        <f>IF($O211&gt;=20,"Critical",IF($O211&gt;=15,"High",IF($O211&gt;=10,"Medium",IF($O211&gt;=5,"Low",IF($O211&gt;0,"Very Low","")))))</f>
        <v/>
      </c>
      <c r="S211" s="5" t="n"/>
      <c r="V211" s="5" t="n"/>
      <c r="W211" s="6" t="n"/>
      <c r="X211" s="6" t="n"/>
      <c r="Z211" s="5" t="n"/>
    </row>
    <row r="212">
      <c r="D212" s="5" t="n"/>
      <c r="E212" s="5" t="n"/>
      <c r="F212" s="5" t="n"/>
      <c r="I212">
        <f>VALUE(LEFT($G212,1))*VALUE(LEFT($H212,1))</f>
        <v/>
      </c>
      <c r="J212">
        <f>IF($I212&gt;=20,"Critical",IF($I212&gt;=15,"High",IF($I212&gt;=10,"Medium",IF($I212&gt;=5,"Low",IF($I212&gt;0,"Very Low","")))))</f>
        <v/>
      </c>
      <c r="K212" s="5" t="n"/>
      <c r="O212">
        <f>VALUE(LEFT($M212,1))*VALUE(LEFT($N212,1))</f>
        <v/>
      </c>
      <c r="P212">
        <f>IF($O212&gt;=20,"Critical",IF($O212&gt;=15,"High",IF($O212&gt;=10,"Medium",IF($O212&gt;=5,"Low",IF($O212&gt;0,"Very Low","")))))</f>
        <v/>
      </c>
      <c r="S212" s="5" t="n"/>
      <c r="V212" s="5" t="n"/>
      <c r="W212" s="6" t="n"/>
      <c r="X212" s="6" t="n"/>
      <c r="Z212" s="5" t="n"/>
    </row>
    <row r="213">
      <c r="D213" s="5" t="n"/>
      <c r="E213" s="5" t="n"/>
      <c r="F213" s="5" t="n"/>
      <c r="I213">
        <f>VALUE(LEFT($G213,1))*VALUE(LEFT($H213,1))</f>
        <v/>
      </c>
      <c r="J213">
        <f>IF($I213&gt;=20,"Critical",IF($I213&gt;=15,"High",IF($I213&gt;=10,"Medium",IF($I213&gt;=5,"Low",IF($I213&gt;0,"Very Low","")))))</f>
        <v/>
      </c>
      <c r="K213" s="5" t="n"/>
      <c r="O213">
        <f>VALUE(LEFT($M213,1))*VALUE(LEFT($N213,1))</f>
        <v/>
      </c>
      <c r="P213">
        <f>IF($O213&gt;=20,"Critical",IF($O213&gt;=15,"High",IF($O213&gt;=10,"Medium",IF($O213&gt;=5,"Low",IF($O213&gt;0,"Very Low","")))))</f>
        <v/>
      </c>
      <c r="S213" s="5" t="n"/>
      <c r="V213" s="5" t="n"/>
      <c r="W213" s="6" t="n"/>
      <c r="X213" s="6" t="n"/>
      <c r="Z213" s="5" t="n"/>
    </row>
    <row r="214">
      <c r="D214" s="5" t="n"/>
      <c r="E214" s="5" t="n"/>
      <c r="F214" s="5" t="n"/>
      <c r="I214">
        <f>VALUE(LEFT($G214,1))*VALUE(LEFT($H214,1))</f>
        <v/>
      </c>
      <c r="J214">
        <f>IF($I214&gt;=20,"Critical",IF($I214&gt;=15,"High",IF($I214&gt;=10,"Medium",IF($I214&gt;=5,"Low",IF($I214&gt;0,"Very Low","")))))</f>
        <v/>
      </c>
      <c r="K214" s="5" t="n"/>
      <c r="O214">
        <f>VALUE(LEFT($M214,1))*VALUE(LEFT($N214,1))</f>
        <v/>
      </c>
      <c r="P214">
        <f>IF($O214&gt;=20,"Critical",IF($O214&gt;=15,"High",IF($O214&gt;=10,"Medium",IF($O214&gt;=5,"Low",IF($O214&gt;0,"Very Low","")))))</f>
        <v/>
      </c>
      <c r="S214" s="5" t="n"/>
      <c r="V214" s="5" t="n"/>
      <c r="W214" s="6" t="n"/>
      <c r="X214" s="6" t="n"/>
      <c r="Z214" s="5" t="n"/>
    </row>
    <row r="215">
      <c r="D215" s="5" t="n"/>
      <c r="E215" s="5" t="n"/>
      <c r="F215" s="5" t="n"/>
      <c r="I215">
        <f>VALUE(LEFT($G215,1))*VALUE(LEFT($H215,1))</f>
        <v/>
      </c>
      <c r="J215">
        <f>IF($I215&gt;=20,"Critical",IF($I215&gt;=15,"High",IF($I215&gt;=10,"Medium",IF($I215&gt;=5,"Low",IF($I215&gt;0,"Very Low","")))))</f>
        <v/>
      </c>
      <c r="K215" s="5" t="n"/>
      <c r="O215">
        <f>VALUE(LEFT($M215,1))*VALUE(LEFT($N215,1))</f>
        <v/>
      </c>
      <c r="P215">
        <f>IF($O215&gt;=20,"Critical",IF($O215&gt;=15,"High",IF($O215&gt;=10,"Medium",IF($O215&gt;=5,"Low",IF($O215&gt;0,"Very Low","")))))</f>
        <v/>
      </c>
      <c r="S215" s="5" t="n"/>
      <c r="V215" s="5" t="n"/>
      <c r="W215" s="6" t="n"/>
      <c r="X215" s="6" t="n"/>
      <c r="Z215" s="5" t="n"/>
    </row>
    <row r="216">
      <c r="D216" s="5" t="n"/>
      <c r="E216" s="5" t="n"/>
      <c r="F216" s="5" t="n"/>
      <c r="I216">
        <f>VALUE(LEFT($G216,1))*VALUE(LEFT($H216,1))</f>
        <v/>
      </c>
      <c r="J216">
        <f>IF($I216&gt;=20,"Critical",IF($I216&gt;=15,"High",IF($I216&gt;=10,"Medium",IF($I216&gt;=5,"Low",IF($I216&gt;0,"Very Low","")))))</f>
        <v/>
      </c>
      <c r="K216" s="5" t="n"/>
      <c r="O216">
        <f>VALUE(LEFT($M216,1))*VALUE(LEFT($N216,1))</f>
        <v/>
      </c>
      <c r="P216">
        <f>IF($O216&gt;=20,"Critical",IF($O216&gt;=15,"High",IF($O216&gt;=10,"Medium",IF($O216&gt;=5,"Low",IF($O216&gt;0,"Very Low","")))))</f>
        <v/>
      </c>
      <c r="S216" s="5" t="n"/>
      <c r="V216" s="5" t="n"/>
      <c r="W216" s="6" t="n"/>
      <c r="X216" s="6" t="n"/>
      <c r="Z216" s="5" t="n"/>
    </row>
    <row r="217">
      <c r="D217" s="5" t="n"/>
      <c r="E217" s="5" t="n"/>
      <c r="F217" s="5" t="n"/>
      <c r="I217">
        <f>VALUE(LEFT($G217,1))*VALUE(LEFT($H217,1))</f>
        <v/>
      </c>
      <c r="J217">
        <f>IF($I217&gt;=20,"Critical",IF($I217&gt;=15,"High",IF($I217&gt;=10,"Medium",IF($I217&gt;=5,"Low",IF($I217&gt;0,"Very Low","")))))</f>
        <v/>
      </c>
      <c r="K217" s="5" t="n"/>
      <c r="O217">
        <f>VALUE(LEFT($M217,1))*VALUE(LEFT($N217,1))</f>
        <v/>
      </c>
      <c r="P217">
        <f>IF($O217&gt;=20,"Critical",IF($O217&gt;=15,"High",IF($O217&gt;=10,"Medium",IF($O217&gt;=5,"Low",IF($O217&gt;0,"Very Low","")))))</f>
        <v/>
      </c>
      <c r="S217" s="5" t="n"/>
      <c r="V217" s="5" t="n"/>
      <c r="W217" s="6" t="n"/>
      <c r="X217" s="6" t="n"/>
      <c r="Z217" s="5" t="n"/>
    </row>
    <row r="218">
      <c r="D218" s="5" t="n"/>
      <c r="E218" s="5" t="n"/>
      <c r="F218" s="5" t="n"/>
      <c r="I218">
        <f>VALUE(LEFT($G218,1))*VALUE(LEFT($H218,1))</f>
        <v/>
      </c>
      <c r="J218">
        <f>IF($I218&gt;=20,"Critical",IF($I218&gt;=15,"High",IF($I218&gt;=10,"Medium",IF($I218&gt;=5,"Low",IF($I218&gt;0,"Very Low","")))))</f>
        <v/>
      </c>
      <c r="K218" s="5" t="n"/>
      <c r="O218">
        <f>VALUE(LEFT($M218,1))*VALUE(LEFT($N218,1))</f>
        <v/>
      </c>
      <c r="P218">
        <f>IF($O218&gt;=20,"Critical",IF($O218&gt;=15,"High",IF($O218&gt;=10,"Medium",IF($O218&gt;=5,"Low",IF($O218&gt;0,"Very Low","")))))</f>
        <v/>
      </c>
      <c r="S218" s="5" t="n"/>
      <c r="V218" s="5" t="n"/>
      <c r="W218" s="6" t="n"/>
      <c r="X218" s="6" t="n"/>
      <c r="Z218" s="5" t="n"/>
    </row>
    <row r="219">
      <c r="D219" s="5" t="n"/>
      <c r="E219" s="5" t="n"/>
      <c r="F219" s="5" t="n"/>
      <c r="I219">
        <f>VALUE(LEFT($G219,1))*VALUE(LEFT($H219,1))</f>
        <v/>
      </c>
      <c r="J219">
        <f>IF($I219&gt;=20,"Critical",IF($I219&gt;=15,"High",IF($I219&gt;=10,"Medium",IF($I219&gt;=5,"Low",IF($I219&gt;0,"Very Low","")))))</f>
        <v/>
      </c>
      <c r="K219" s="5" t="n"/>
      <c r="O219">
        <f>VALUE(LEFT($M219,1))*VALUE(LEFT($N219,1))</f>
        <v/>
      </c>
      <c r="P219">
        <f>IF($O219&gt;=20,"Critical",IF($O219&gt;=15,"High",IF($O219&gt;=10,"Medium",IF($O219&gt;=5,"Low",IF($O219&gt;0,"Very Low","")))))</f>
        <v/>
      </c>
      <c r="S219" s="5" t="n"/>
      <c r="V219" s="5" t="n"/>
      <c r="W219" s="6" t="n"/>
      <c r="X219" s="6" t="n"/>
      <c r="Z219" s="5" t="n"/>
    </row>
    <row r="220">
      <c r="D220" s="5" t="n"/>
      <c r="E220" s="5" t="n"/>
      <c r="F220" s="5" t="n"/>
      <c r="I220">
        <f>VALUE(LEFT($G220,1))*VALUE(LEFT($H220,1))</f>
        <v/>
      </c>
      <c r="J220">
        <f>IF($I220&gt;=20,"Critical",IF($I220&gt;=15,"High",IF($I220&gt;=10,"Medium",IF($I220&gt;=5,"Low",IF($I220&gt;0,"Very Low","")))))</f>
        <v/>
      </c>
      <c r="K220" s="5" t="n"/>
      <c r="O220">
        <f>VALUE(LEFT($M220,1))*VALUE(LEFT($N220,1))</f>
        <v/>
      </c>
      <c r="P220">
        <f>IF($O220&gt;=20,"Critical",IF($O220&gt;=15,"High",IF($O220&gt;=10,"Medium",IF($O220&gt;=5,"Low",IF($O220&gt;0,"Very Low","")))))</f>
        <v/>
      </c>
      <c r="S220" s="5" t="n"/>
      <c r="V220" s="5" t="n"/>
      <c r="W220" s="6" t="n"/>
      <c r="X220" s="6" t="n"/>
      <c r="Z220" s="5" t="n"/>
    </row>
    <row r="221">
      <c r="D221" s="5" t="n"/>
      <c r="E221" s="5" t="n"/>
      <c r="F221" s="5" t="n"/>
      <c r="I221">
        <f>VALUE(LEFT($G221,1))*VALUE(LEFT($H221,1))</f>
        <v/>
      </c>
      <c r="J221">
        <f>IF($I221&gt;=20,"Critical",IF($I221&gt;=15,"High",IF($I221&gt;=10,"Medium",IF($I221&gt;=5,"Low",IF($I221&gt;0,"Very Low","")))))</f>
        <v/>
      </c>
      <c r="K221" s="5" t="n"/>
      <c r="O221">
        <f>VALUE(LEFT($M221,1))*VALUE(LEFT($N221,1))</f>
        <v/>
      </c>
      <c r="P221">
        <f>IF($O221&gt;=20,"Critical",IF($O221&gt;=15,"High",IF($O221&gt;=10,"Medium",IF($O221&gt;=5,"Low",IF($O221&gt;0,"Very Low","")))))</f>
        <v/>
      </c>
      <c r="S221" s="5" t="n"/>
      <c r="V221" s="5" t="n"/>
      <c r="W221" s="6" t="n"/>
      <c r="X221" s="6" t="n"/>
      <c r="Z221" s="5" t="n"/>
    </row>
    <row r="222">
      <c r="D222" s="5" t="n"/>
      <c r="E222" s="5" t="n"/>
      <c r="F222" s="5" t="n"/>
      <c r="I222">
        <f>VALUE(LEFT($G222,1))*VALUE(LEFT($H222,1))</f>
        <v/>
      </c>
      <c r="J222">
        <f>IF($I222&gt;=20,"Critical",IF($I222&gt;=15,"High",IF($I222&gt;=10,"Medium",IF($I222&gt;=5,"Low",IF($I222&gt;0,"Very Low","")))))</f>
        <v/>
      </c>
      <c r="K222" s="5" t="n"/>
      <c r="O222">
        <f>VALUE(LEFT($M222,1))*VALUE(LEFT($N222,1))</f>
        <v/>
      </c>
      <c r="P222">
        <f>IF($O222&gt;=20,"Critical",IF($O222&gt;=15,"High",IF($O222&gt;=10,"Medium",IF($O222&gt;=5,"Low",IF($O222&gt;0,"Very Low","")))))</f>
        <v/>
      </c>
      <c r="S222" s="5" t="n"/>
      <c r="V222" s="5" t="n"/>
      <c r="W222" s="6" t="n"/>
      <c r="X222" s="6" t="n"/>
      <c r="Z222" s="5" t="n"/>
    </row>
    <row r="223">
      <c r="D223" s="5" t="n"/>
      <c r="E223" s="5" t="n"/>
      <c r="F223" s="5" t="n"/>
      <c r="I223">
        <f>VALUE(LEFT($G223,1))*VALUE(LEFT($H223,1))</f>
        <v/>
      </c>
      <c r="J223">
        <f>IF($I223&gt;=20,"Critical",IF($I223&gt;=15,"High",IF($I223&gt;=10,"Medium",IF($I223&gt;=5,"Low",IF($I223&gt;0,"Very Low","")))))</f>
        <v/>
      </c>
      <c r="K223" s="5" t="n"/>
      <c r="O223">
        <f>VALUE(LEFT($M223,1))*VALUE(LEFT($N223,1))</f>
        <v/>
      </c>
      <c r="P223">
        <f>IF($O223&gt;=20,"Critical",IF($O223&gt;=15,"High",IF($O223&gt;=10,"Medium",IF($O223&gt;=5,"Low",IF($O223&gt;0,"Very Low","")))))</f>
        <v/>
      </c>
      <c r="S223" s="5" t="n"/>
      <c r="V223" s="5" t="n"/>
      <c r="W223" s="6" t="n"/>
      <c r="X223" s="6" t="n"/>
      <c r="Z223" s="5" t="n"/>
    </row>
    <row r="224">
      <c r="D224" s="5" t="n"/>
      <c r="E224" s="5" t="n"/>
      <c r="F224" s="5" t="n"/>
      <c r="I224">
        <f>VALUE(LEFT($G224,1))*VALUE(LEFT($H224,1))</f>
        <v/>
      </c>
      <c r="J224">
        <f>IF($I224&gt;=20,"Critical",IF($I224&gt;=15,"High",IF($I224&gt;=10,"Medium",IF($I224&gt;=5,"Low",IF($I224&gt;0,"Very Low","")))))</f>
        <v/>
      </c>
      <c r="K224" s="5" t="n"/>
      <c r="O224">
        <f>VALUE(LEFT($M224,1))*VALUE(LEFT($N224,1))</f>
        <v/>
      </c>
      <c r="P224">
        <f>IF($O224&gt;=20,"Critical",IF($O224&gt;=15,"High",IF($O224&gt;=10,"Medium",IF($O224&gt;=5,"Low",IF($O224&gt;0,"Very Low","")))))</f>
        <v/>
      </c>
      <c r="S224" s="5" t="n"/>
      <c r="V224" s="5" t="n"/>
      <c r="W224" s="6" t="n"/>
      <c r="X224" s="6" t="n"/>
      <c r="Z224" s="5" t="n"/>
    </row>
    <row r="225">
      <c r="D225" s="5" t="n"/>
      <c r="E225" s="5" t="n"/>
      <c r="F225" s="5" t="n"/>
      <c r="I225">
        <f>VALUE(LEFT($G225,1))*VALUE(LEFT($H225,1))</f>
        <v/>
      </c>
      <c r="J225">
        <f>IF($I225&gt;=20,"Critical",IF($I225&gt;=15,"High",IF($I225&gt;=10,"Medium",IF($I225&gt;=5,"Low",IF($I225&gt;0,"Very Low","")))))</f>
        <v/>
      </c>
      <c r="K225" s="5" t="n"/>
      <c r="O225">
        <f>VALUE(LEFT($M225,1))*VALUE(LEFT($N225,1))</f>
        <v/>
      </c>
      <c r="P225">
        <f>IF($O225&gt;=20,"Critical",IF($O225&gt;=15,"High",IF($O225&gt;=10,"Medium",IF($O225&gt;=5,"Low",IF($O225&gt;0,"Very Low","")))))</f>
        <v/>
      </c>
      <c r="S225" s="5" t="n"/>
      <c r="V225" s="5" t="n"/>
      <c r="W225" s="6" t="n"/>
      <c r="X225" s="6" t="n"/>
      <c r="Z225" s="5" t="n"/>
    </row>
    <row r="226">
      <c r="D226" s="5" t="n"/>
      <c r="E226" s="5" t="n"/>
      <c r="F226" s="5" t="n"/>
      <c r="I226">
        <f>VALUE(LEFT($G226,1))*VALUE(LEFT($H226,1))</f>
        <v/>
      </c>
      <c r="J226">
        <f>IF($I226&gt;=20,"Critical",IF($I226&gt;=15,"High",IF($I226&gt;=10,"Medium",IF($I226&gt;=5,"Low",IF($I226&gt;0,"Very Low","")))))</f>
        <v/>
      </c>
      <c r="K226" s="5" t="n"/>
      <c r="O226">
        <f>VALUE(LEFT($M226,1))*VALUE(LEFT($N226,1))</f>
        <v/>
      </c>
      <c r="P226">
        <f>IF($O226&gt;=20,"Critical",IF($O226&gt;=15,"High",IF($O226&gt;=10,"Medium",IF($O226&gt;=5,"Low",IF($O226&gt;0,"Very Low","")))))</f>
        <v/>
      </c>
      <c r="S226" s="5" t="n"/>
      <c r="V226" s="5" t="n"/>
      <c r="W226" s="6" t="n"/>
      <c r="X226" s="6" t="n"/>
      <c r="Z226" s="5" t="n"/>
    </row>
    <row r="227">
      <c r="D227" s="5" t="n"/>
      <c r="E227" s="5" t="n"/>
      <c r="F227" s="5" t="n"/>
      <c r="I227">
        <f>VALUE(LEFT($G227,1))*VALUE(LEFT($H227,1))</f>
        <v/>
      </c>
      <c r="J227">
        <f>IF($I227&gt;=20,"Critical",IF($I227&gt;=15,"High",IF($I227&gt;=10,"Medium",IF($I227&gt;=5,"Low",IF($I227&gt;0,"Very Low","")))))</f>
        <v/>
      </c>
      <c r="K227" s="5" t="n"/>
      <c r="O227">
        <f>VALUE(LEFT($M227,1))*VALUE(LEFT($N227,1))</f>
        <v/>
      </c>
      <c r="P227">
        <f>IF($O227&gt;=20,"Critical",IF($O227&gt;=15,"High",IF($O227&gt;=10,"Medium",IF($O227&gt;=5,"Low",IF($O227&gt;0,"Very Low","")))))</f>
        <v/>
      </c>
      <c r="S227" s="5" t="n"/>
      <c r="V227" s="5" t="n"/>
      <c r="W227" s="6" t="n"/>
      <c r="X227" s="6" t="n"/>
      <c r="Z227" s="5" t="n"/>
    </row>
    <row r="228">
      <c r="D228" s="5" t="n"/>
      <c r="E228" s="5" t="n"/>
      <c r="F228" s="5" t="n"/>
      <c r="I228">
        <f>VALUE(LEFT($G228,1))*VALUE(LEFT($H228,1))</f>
        <v/>
      </c>
      <c r="J228">
        <f>IF($I228&gt;=20,"Critical",IF($I228&gt;=15,"High",IF($I228&gt;=10,"Medium",IF($I228&gt;=5,"Low",IF($I228&gt;0,"Very Low","")))))</f>
        <v/>
      </c>
      <c r="K228" s="5" t="n"/>
      <c r="O228">
        <f>VALUE(LEFT($M228,1))*VALUE(LEFT($N228,1))</f>
        <v/>
      </c>
      <c r="P228">
        <f>IF($O228&gt;=20,"Critical",IF($O228&gt;=15,"High",IF($O228&gt;=10,"Medium",IF($O228&gt;=5,"Low",IF($O228&gt;0,"Very Low","")))))</f>
        <v/>
      </c>
      <c r="S228" s="5" t="n"/>
      <c r="V228" s="5" t="n"/>
      <c r="W228" s="6" t="n"/>
      <c r="X228" s="6" t="n"/>
      <c r="Z228" s="5" t="n"/>
    </row>
    <row r="229">
      <c r="D229" s="5" t="n"/>
      <c r="E229" s="5" t="n"/>
      <c r="F229" s="5" t="n"/>
      <c r="I229">
        <f>VALUE(LEFT($G229,1))*VALUE(LEFT($H229,1))</f>
        <v/>
      </c>
      <c r="J229">
        <f>IF($I229&gt;=20,"Critical",IF($I229&gt;=15,"High",IF($I229&gt;=10,"Medium",IF($I229&gt;=5,"Low",IF($I229&gt;0,"Very Low","")))))</f>
        <v/>
      </c>
      <c r="K229" s="5" t="n"/>
      <c r="O229">
        <f>VALUE(LEFT($M229,1))*VALUE(LEFT($N229,1))</f>
        <v/>
      </c>
      <c r="P229">
        <f>IF($O229&gt;=20,"Critical",IF($O229&gt;=15,"High",IF($O229&gt;=10,"Medium",IF($O229&gt;=5,"Low",IF($O229&gt;0,"Very Low","")))))</f>
        <v/>
      </c>
      <c r="S229" s="5" t="n"/>
      <c r="V229" s="5" t="n"/>
      <c r="W229" s="6" t="n"/>
      <c r="X229" s="6" t="n"/>
      <c r="Z229" s="5" t="n"/>
    </row>
    <row r="230">
      <c r="D230" s="5" t="n"/>
      <c r="E230" s="5" t="n"/>
      <c r="F230" s="5" t="n"/>
      <c r="I230">
        <f>VALUE(LEFT($G230,1))*VALUE(LEFT($H230,1))</f>
        <v/>
      </c>
      <c r="J230">
        <f>IF($I230&gt;=20,"Critical",IF($I230&gt;=15,"High",IF($I230&gt;=10,"Medium",IF($I230&gt;=5,"Low",IF($I230&gt;0,"Very Low","")))))</f>
        <v/>
      </c>
      <c r="K230" s="5" t="n"/>
      <c r="O230">
        <f>VALUE(LEFT($M230,1))*VALUE(LEFT($N230,1))</f>
        <v/>
      </c>
      <c r="P230">
        <f>IF($O230&gt;=20,"Critical",IF($O230&gt;=15,"High",IF($O230&gt;=10,"Medium",IF($O230&gt;=5,"Low",IF($O230&gt;0,"Very Low","")))))</f>
        <v/>
      </c>
      <c r="S230" s="5" t="n"/>
      <c r="V230" s="5" t="n"/>
      <c r="W230" s="6" t="n"/>
      <c r="X230" s="6" t="n"/>
      <c r="Z230" s="5" t="n"/>
    </row>
    <row r="231">
      <c r="D231" s="5" t="n"/>
      <c r="E231" s="5" t="n"/>
      <c r="F231" s="5" t="n"/>
      <c r="I231">
        <f>VALUE(LEFT($G231,1))*VALUE(LEFT($H231,1))</f>
        <v/>
      </c>
      <c r="J231">
        <f>IF($I231&gt;=20,"Critical",IF($I231&gt;=15,"High",IF($I231&gt;=10,"Medium",IF($I231&gt;=5,"Low",IF($I231&gt;0,"Very Low","")))))</f>
        <v/>
      </c>
      <c r="K231" s="5" t="n"/>
      <c r="O231">
        <f>VALUE(LEFT($M231,1))*VALUE(LEFT($N231,1))</f>
        <v/>
      </c>
      <c r="P231">
        <f>IF($O231&gt;=20,"Critical",IF($O231&gt;=15,"High",IF($O231&gt;=10,"Medium",IF($O231&gt;=5,"Low",IF($O231&gt;0,"Very Low","")))))</f>
        <v/>
      </c>
      <c r="S231" s="5" t="n"/>
      <c r="V231" s="5" t="n"/>
      <c r="W231" s="6" t="n"/>
      <c r="X231" s="6" t="n"/>
      <c r="Z231" s="5" t="n"/>
    </row>
    <row r="232">
      <c r="D232" s="5" t="n"/>
      <c r="E232" s="5" t="n"/>
      <c r="F232" s="5" t="n"/>
      <c r="I232">
        <f>VALUE(LEFT($G232,1))*VALUE(LEFT($H232,1))</f>
        <v/>
      </c>
      <c r="J232">
        <f>IF($I232&gt;=20,"Critical",IF($I232&gt;=15,"High",IF($I232&gt;=10,"Medium",IF($I232&gt;=5,"Low",IF($I232&gt;0,"Very Low","")))))</f>
        <v/>
      </c>
      <c r="K232" s="5" t="n"/>
      <c r="O232">
        <f>VALUE(LEFT($M232,1))*VALUE(LEFT($N232,1))</f>
        <v/>
      </c>
      <c r="P232">
        <f>IF($O232&gt;=20,"Critical",IF($O232&gt;=15,"High",IF($O232&gt;=10,"Medium",IF($O232&gt;=5,"Low",IF($O232&gt;0,"Very Low","")))))</f>
        <v/>
      </c>
      <c r="S232" s="5" t="n"/>
      <c r="V232" s="5" t="n"/>
      <c r="W232" s="6" t="n"/>
      <c r="X232" s="6" t="n"/>
      <c r="Z232" s="5" t="n"/>
    </row>
    <row r="233">
      <c r="D233" s="5" t="n"/>
      <c r="E233" s="5" t="n"/>
      <c r="F233" s="5" t="n"/>
      <c r="I233">
        <f>VALUE(LEFT($G233,1))*VALUE(LEFT($H233,1))</f>
        <v/>
      </c>
      <c r="J233">
        <f>IF($I233&gt;=20,"Critical",IF($I233&gt;=15,"High",IF($I233&gt;=10,"Medium",IF($I233&gt;=5,"Low",IF($I233&gt;0,"Very Low","")))))</f>
        <v/>
      </c>
      <c r="K233" s="5" t="n"/>
      <c r="O233">
        <f>VALUE(LEFT($M233,1))*VALUE(LEFT($N233,1))</f>
        <v/>
      </c>
      <c r="P233">
        <f>IF($O233&gt;=20,"Critical",IF($O233&gt;=15,"High",IF($O233&gt;=10,"Medium",IF($O233&gt;=5,"Low",IF($O233&gt;0,"Very Low","")))))</f>
        <v/>
      </c>
      <c r="S233" s="5" t="n"/>
      <c r="V233" s="5" t="n"/>
      <c r="W233" s="6" t="n"/>
      <c r="X233" s="6" t="n"/>
      <c r="Z233" s="5" t="n"/>
    </row>
    <row r="234">
      <c r="D234" s="5" t="n"/>
      <c r="E234" s="5" t="n"/>
      <c r="F234" s="5" t="n"/>
      <c r="I234">
        <f>VALUE(LEFT($G234,1))*VALUE(LEFT($H234,1))</f>
        <v/>
      </c>
      <c r="J234">
        <f>IF($I234&gt;=20,"Critical",IF($I234&gt;=15,"High",IF($I234&gt;=10,"Medium",IF($I234&gt;=5,"Low",IF($I234&gt;0,"Very Low","")))))</f>
        <v/>
      </c>
      <c r="K234" s="5" t="n"/>
      <c r="O234">
        <f>VALUE(LEFT($M234,1))*VALUE(LEFT($N234,1))</f>
        <v/>
      </c>
      <c r="P234">
        <f>IF($O234&gt;=20,"Critical",IF($O234&gt;=15,"High",IF($O234&gt;=10,"Medium",IF($O234&gt;=5,"Low",IF($O234&gt;0,"Very Low","")))))</f>
        <v/>
      </c>
      <c r="S234" s="5" t="n"/>
      <c r="V234" s="5" t="n"/>
      <c r="W234" s="6" t="n"/>
      <c r="X234" s="6" t="n"/>
      <c r="Z234" s="5" t="n"/>
    </row>
    <row r="235">
      <c r="D235" s="5" t="n"/>
      <c r="E235" s="5" t="n"/>
      <c r="F235" s="5" t="n"/>
      <c r="I235">
        <f>VALUE(LEFT($G235,1))*VALUE(LEFT($H235,1))</f>
        <v/>
      </c>
      <c r="J235">
        <f>IF($I235&gt;=20,"Critical",IF($I235&gt;=15,"High",IF($I235&gt;=10,"Medium",IF($I235&gt;=5,"Low",IF($I235&gt;0,"Very Low","")))))</f>
        <v/>
      </c>
      <c r="K235" s="5" t="n"/>
      <c r="O235">
        <f>VALUE(LEFT($M235,1))*VALUE(LEFT($N235,1))</f>
        <v/>
      </c>
      <c r="P235">
        <f>IF($O235&gt;=20,"Critical",IF($O235&gt;=15,"High",IF($O235&gt;=10,"Medium",IF($O235&gt;=5,"Low",IF($O235&gt;0,"Very Low","")))))</f>
        <v/>
      </c>
      <c r="S235" s="5" t="n"/>
      <c r="V235" s="5" t="n"/>
      <c r="W235" s="6" t="n"/>
      <c r="X235" s="6" t="n"/>
      <c r="Z235" s="5" t="n"/>
    </row>
    <row r="236">
      <c r="D236" s="5" t="n"/>
      <c r="E236" s="5" t="n"/>
      <c r="F236" s="5" t="n"/>
      <c r="I236">
        <f>VALUE(LEFT($G236,1))*VALUE(LEFT($H236,1))</f>
        <v/>
      </c>
      <c r="J236">
        <f>IF($I236&gt;=20,"Critical",IF($I236&gt;=15,"High",IF($I236&gt;=10,"Medium",IF($I236&gt;=5,"Low",IF($I236&gt;0,"Very Low","")))))</f>
        <v/>
      </c>
      <c r="K236" s="5" t="n"/>
      <c r="O236">
        <f>VALUE(LEFT($M236,1))*VALUE(LEFT($N236,1))</f>
        <v/>
      </c>
      <c r="P236">
        <f>IF($O236&gt;=20,"Critical",IF($O236&gt;=15,"High",IF($O236&gt;=10,"Medium",IF($O236&gt;=5,"Low",IF($O236&gt;0,"Very Low","")))))</f>
        <v/>
      </c>
      <c r="S236" s="5" t="n"/>
      <c r="V236" s="5" t="n"/>
      <c r="W236" s="6" t="n"/>
      <c r="X236" s="6" t="n"/>
      <c r="Z236" s="5" t="n"/>
    </row>
    <row r="237">
      <c r="D237" s="5" t="n"/>
      <c r="E237" s="5" t="n"/>
      <c r="F237" s="5" t="n"/>
      <c r="I237">
        <f>VALUE(LEFT($G237,1))*VALUE(LEFT($H237,1))</f>
        <v/>
      </c>
      <c r="J237">
        <f>IF($I237&gt;=20,"Critical",IF($I237&gt;=15,"High",IF($I237&gt;=10,"Medium",IF($I237&gt;=5,"Low",IF($I237&gt;0,"Very Low","")))))</f>
        <v/>
      </c>
      <c r="K237" s="5" t="n"/>
      <c r="O237">
        <f>VALUE(LEFT($M237,1))*VALUE(LEFT($N237,1))</f>
        <v/>
      </c>
      <c r="P237">
        <f>IF($O237&gt;=20,"Critical",IF($O237&gt;=15,"High",IF($O237&gt;=10,"Medium",IF($O237&gt;=5,"Low",IF($O237&gt;0,"Very Low","")))))</f>
        <v/>
      </c>
      <c r="S237" s="5" t="n"/>
      <c r="V237" s="5" t="n"/>
      <c r="W237" s="6" t="n"/>
      <c r="X237" s="6" t="n"/>
      <c r="Z237" s="5" t="n"/>
    </row>
    <row r="238">
      <c r="D238" s="5" t="n"/>
      <c r="E238" s="5" t="n"/>
      <c r="F238" s="5" t="n"/>
      <c r="I238">
        <f>VALUE(LEFT($G238,1))*VALUE(LEFT($H238,1))</f>
        <v/>
      </c>
      <c r="J238">
        <f>IF($I238&gt;=20,"Critical",IF($I238&gt;=15,"High",IF($I238&gt;=10,"Medium",IF($I238&gt;=5,"Low",IF($I238&gt;0,"Very Low","")))))</f>
        <v/>
      </c>
      <c r="K238" s="5" t="n"/>
      <c r="O238">
        <f>VALUE(LEFT($M238,1))*VALUE(LEFT($N238,1))</f>
        <v/>
      </c>
      <c r="P238">
        <f>IF($O238&gt;=20,"Critical",IF($O238&gt;=15,"High",IF($O238&gt;=10,"Medium",IF($O238&gt;=5,"Low",IF($O238&gt;0,"Very Low","")))))</f>
        <v/>
      </c>
      <c r="S238" s="5" t="n"/>
      <c r="V238" s="5" t="n"/>
      <c r="W238" s="6" t="n"/>
      <c r="X238" s="6" t="n"/>
      <c r="Z238" s="5" t="n"/>
    </row>
    <row r="239">
      <c r="D239" s="5" t="n"/>
      <c r="E239" s="5" t="n"/>
      <c r="F239" s="5" t="n"/>
      <c r="I239">
        <f>VALUE(LEFT($G239,1))*VALUE(LEFT($H239,1))</f>
        <v/>
      </c>
      <c r="J239">
        <f>IF($I239&gt;=20,"Critical",IF($I239&gt;=15,"High",IF($I239&gt;=10,"Medium",IF($I239&gt;=5,"Low",IF($I239&gt;0,"Very Low","")))))</f>
        <v/>
      </c>
      <c r="K239" s="5" t="n"/>
      <c r="O239">
        <f>VALUE(LEFT($M239,1))*VALUE(LEFT($N239,1))</f>
        <v/>
      </c>
      <c r="P239">
        <f>IF($O239&gt;=20,"Critical",IF($O239&gt;=15,"High",IF($O239&gt;=10,"Medium",IF($O239&gt;=5,"Low",IF($O239&gt;0,"Very Low","")))))</f>
        <v/>
      </c>
      <c r="S239" s="5" t="n"/>
      <c r="V239" s="5" t="n"/>
      <c r="W239" s="6" t="n"/>
      <c r="X239" s="6" t="n"/>
      <c r="Z239" s="5" t="n"/>
    </row>
    <row r="240">
      <c r="D240" s="5" t="n"/>
      <c r="E240" s="5" t="n"/>
      <c r="F240" s="5" t="n"/>
      <c r="I240">
        <f>VALUE(LEFT($G240,1))*VALUE(LEFT($H240,1))</f>
        <v/>
      </c>
      <c r="J240">
        <f>IF($I240&gt;=20,"Critical",IF($I240&gt;=15,"High",IF($I240&gt;=10,"Medium",IF($I240&gt;=5,"Low",IF($I240&gt;0,"Very Low","")))))</f>
        <v/>
      </c>
      <c r="K240" s="5" t="n"/>
      <c r="O240">
        <f>VALUE(LEFT($M240,1))*VALUE(LEFT($N240,1))</f>
        <v/>
      </c>
      <c r="P240">
        <f>IF($O240&gt;=20,"Critical",IF($O240&gt;=15,"High",IF($O240&gt;=10,"Medium",IF($O240&gt;=5,"Low",IF($O240&gt;0,"Very Low","")))))</f>
        <v/>
      </c>
      <c r="S240" s="5" t="n"/>
      <c r="V240" s="5" t="n"/>
      <c r="W240" s="6" t="n"/>
      <c r="X240" s="6" t="n"/>
      <c r="Z240" s="5" t="n"/>
    </row>
    <row r="241">
      <c r="D241" s="5" t="n"/>
      <c r="E241" s="5" t="n"/>
      <c r="F241" s="5" t="n"/>
      <c r="I241">
        <f>VALUE(LEFT($G241,1))*VALUE(LEFT($H241,1))</f>
        <v/>
      </c>
      <c r="J241">
        <f>IF($I241&gt;=20,"Critical",IF($I241&gt;=15,"High",IF($I241&gt;=10,"Medium",IF($I241&gt;=5,"Low",IF($I241&gt;0,"Very Low","")))))</f>
        <v/>
      </c>
      <c r="K241" s="5" t="n"/>
      <c r="O241">
        <f>VALUE(LEFT($M241,1))*VALUE(LEFT($N241,1))</f>
        <v/>
      </c>
      <c r="P241">
        <f>IF($O241&gt;=20,"Critical",IF($O241&gt;=15,"High",IF($O241&gt;=10,"Medium",IF($O241&gt;=5,"Low",IF($O241&gt;0,"Very Low","")))))</f>
        <v/>
      </c>
      <c r="S241" s="5" t="n"/>
      <c r="V241" s="5" t="n"/>
      <c r="W241" s="6" t="n"/>
      <c r="X241" s="6" t="n"/>
      <c r="Z241" s="5" t="n"/>
    </row>
    <row r="242">
      <c r="D242" s="5" t="n"/>
      <c r="E242" s="5" t="n"/>
      <c r="F242" s="5" t="n"/>
      <c r="I242">
        <f>VALUE(LEFT($G242,1))*VALUE(LEFT($H242,1))</f>
        <v/>
      </c>
      <c r="J242">
        <f>IF($I242&gt;=20,"Critical",IF($I242&gt;=15,"High",IF($I242&gt;=10,"Medium",IF($I242&gt;=5,"Low",IF($I242&gt;0,"Very Low","")))))</f>
        <v/>
      </c>
      <c r="K242" s="5" t="n"/>
      <c r="O242">
        <f>VALUE(LEFT($M242,1))*VALUE(LEFT($N242,1))</f>
        <v/>
      </c>
      <c r="P242">
        <f>IF($O242&gt;=20,"Critical",IF($O242&gt;=15,"High",IF($O242&gt;=10,"Medium",IF($O242&gt;=5,"Low",IF($O242&gt;0,"Very Low","")))))</f>
        <v/>
      </c>
      <c r="S242" s="5" t="n"/>
      <c r="V242" s="5" t="n"/>
      <c r="W242" s="6" t="n"/>
      <c r="X242" s="6" t="n"/>
      <c r="Z242" s="5" t="n"/>
    </row>
    <row r="243">
      <c r="D243" s="5" t="n"/>
      <c r="E243" s="5" t="n"/>
      <c r="F243" s="5" t="n"/>
      <c r="I243">
        <f>VALUE(LEFT($G243,1))*VALUE(LEFT($H243,1))</f>
        <v/>
      </c>
      <c r="J243">
        <f>IF($I243&gt;=20,"Critical",IF($I243&gt;=15,"High",IF($I243&gt;=10,"Medium",IF($I243&gt;=5,"Low",IF($I243&gt;0,"Very Low","")))))</f>
        <v/>
      </c>
      <c r="K243" s="5" t="n"/>
      <c r="O243">
        <f>VALUE(LEFT($M243,1))*VALUE(LEFT($N243,1))</f>
        <v/>
      </c>
      <c r="P243">
        <f>IF($O243&gt;=20,"Critical",IF($O243&gt;=15,"High",IF($O243&gt;=10,"Medium",IF($O243&gt;=5,"Low",IF($O243&gt;0,"Very Low","")))))</f>
        <v/>
      </c>
      <c r="S243" s="5" t="n"/>
      <c r="V243" s="5" t="n"/>
      <c r="W243" s="6" t="n"/>
      <c r="X243" s="6" t="n"/>
      <c r="Z243" s="5" t="n"/>
    </row>
    <row r="244">
      <c r="D244" s="5" t="n"/>
      <c r="E244" s="5" t="n"/>
      <c r="F244" s="5" t="n"/>
      <c r="I244">
        <f>VALUE(LEFT($G244,1))*VALUE(LEFT($H244,1))</f>
        <v/>
      </c>
      <c r="J244">
        <f>IF($I244&gt;=20,"Critical",IF($I244&gt;=15,"High",IF($I244&gt;=10,"Medium",IF($I244&gt;=5,"Low",IF($I244&gt;0,"Very Low","")))))</f>
        <v/>
      </c>
      <c r="K244" s="5" t="n"/>
      <c r="O244">
        <f>VALUE(LEFT($M244,1))*VALUE(LEFT($N244,1))</f>
        <v/>
      </c>
      <c r="P244">
        <f>IF($O244&gt;=20,"Critical",IF($O244&gt;=15,"High",IF($O244&gt;=10,"Medium",IF($O244&gt;=5,"Low",IF($O244&gt;0,"Very Low","")))))</f>
        <v/>
      </c>
      <c r="S244" s="5" t="n"/>
      <c r="V244" s="5" t="n"/>
      <c r="W244" s="6" t="n"/>
      <c r="X244" s="6" t="n"/>
      <c r="Z244" s="5" t="n"/>
    </row>
    <row r="245">
      <c r="D245" s="5" t="n"/>
      <c r="E245" s="5" t="n"/>
      <c r="F245" s="5" t="n"/>
      <c r="I245">
        <f>VALUE(LEFT($G245,1))*VALUE(LEFT($H245,1))</f>
        <v/>
      </c>
      <c r="J245">
        <f>IF($I245&gt;=20,"Critical",IF($I245&gt;=15,"High",IF($I245&gt;=10,"Medium",IF($I245&gt;=5,"Low",IF($I245&gt;0,"Very Low","")))))</f>
        <v/>
      </c>
      <c r="K245" s="5" t="n"/>
      <c r="O245">
        <f>VALUE(LEFT($M245,1))*VALUE(LEFT($N245,1))</f>
        <v/>
      </c>
      <c r="P245">
        <f>IF($O245&gt;=20,"Critical",IF($O245&gt;=15,"High",IF($O245&gt;=10,"Medium",IF($O245&gt;=5,"Low",IF($O245&gt;0,"Very Low","")))))</f>
        <v/>
      </c>
      <c r="S245" s="5" t="n"/>
      <c r="V245" s="5" t="n"/>
      <c r="W245" s="6" t="n"/>
      <c r="X245" s="6" t="n"/>
      <c r="Z245" s="5" t="n"/>
    </row>
    <row r="246">
      <c r="D246" s="5" t="n"/>
      <c r="E246" s="5" t="n"/>
      <c r="F246" s="5" t="n"/>
      <c r="I246">
        <f>VALUE(LEFT($G246,1))*VALUE(LEFT($H246,1))</f>
        <v/>
      </c>
      <c r="J246">
        <f>IF($I246&gt;=20,"Critical",IF($I246&gt;=15,"High",IF($I246&gt;=10,"Medium",IF($I246&gt;=5,"Low",IF($I246&gt;0,"Very Low","")))))</f>
        <v/>
      </c>
      <c r="K246" s="5" t="n"/>
      <c r="O246">
        <f>VALUE(LEFT($M246,1))*VALUE(LEFT($N246,1))</f>
        <v/>
      </c>
      <c r="P246">
        <f>IF($O246&gt;=20,"Critical",IF($O246&gt;=15,"High",IF($O246&gt;=10,"Medium",IF($O246&gt;=5,"Low",IF($O246&gt;0,"Very Low","")))))</f>
        <v/>
      </c>
      <c r="S246" s="5" t="n"/>
      <c r="V246" s="5" t="n"/>
      <c r="W246" s="6" t="n"/>
      <c r="X246" s="6" t="n"/>
      <c r="Z246" s="5" t="n"/>
    </row>
    <row r="247">
      <c r="D247" s="5" t="n"/>
      <c r="E247" s="5" t="n"/>
      <c r="F247" s="5" t="n"/>
      <c r="I247">
        <f>VALUE(LEFT($G247,1))*VALUE(LEFT($H247,1))</f>
        <v/>
      </c>
      <c r="J247">
        <f>IF($I247&gt;=20,"Critical",IF($I247&gt;=15,"High",IF($I247&gt;=10,"Medium",IF($I247&gt;=5,"Low",IF($I247&gt;0,"Very Low","")))))</f>
        <v/>
      </c>
      <c r="K247" s="5" t="n"/>
      <c r="O247">
        <f>VALUE(LEFT($M247,1))*VALUE(LEFT($N247,1))</f>
        <v/>
      </c>
      <c r="P247">
        <f>IF($O247&gt;=20,"Critical",IF($O247&gt;=15,"High",IF($O247&gt;=10,"Medium",IF($O247&gt;=5,"Low",IF($O247&gt;0,"Very Low","")))))</f>
        <v/>
      </c>
      <c r="S247" s="5" t="n"/>
      <c r="V247" s="5" t="n"/>
      <c r="W247" s="6" t="n"/>
      <c r="X247" s="6" t="n"/>
      <c r="Z247" s="5" t="n"/>
    </row>
    <row r="248">
      <c r="D248" s="5" t="n"/>
      <c r="E248" s="5" t="n"/>
      <c r="F248" s="5" t="n"/>
      <c r="I248">
        <f>VALUE(LEFT($G248,1))*VALUE(LEFT($H248,1))</f>
        <v/>
      </c>
      <c r="J248">
        <f>IF($I248&gt;=20,"Critical",IF($I248&gt;=15,"High",IF($I248&gt;=10,"Medium",IF($I248&gt;=5,"Low",IF($I248&gt;0,"Very Low","")))))</f>
        <v/>
      </c>
      <c r="K248" s="5" t="n"/>
      <c r="O248">
        <f>VALUE(LEFT($M248,1))*VALUE(LEFT($N248,1))</f>
        <v/>
      </c>
      <c r="P248">
        <f>IF($O248&gt;=20,"Critical",IF($O248&gt;=15,"High",IF($O248&gt;=10,"Medium",IF($O248&gt;=5,"Low",IF($O248&gt;0,"Very Low","")))))</f>
        <v/>
      </c>
      <c r="S248" s="5" t="n"/>
      <c r="V248" s="5" t="n"/>
      <c r="W248" s="6" t="n"/>
      <c r="X248" s="6" t="n"/>
      <c r="Z248" s="5" t="n"/>
    </row>
    <row r="249">
      <c r="D249" s="5" t="n"/>
      <c r="E249" s="5" t="n"/>
      <c r="F249" s="5" t="n"/>
      <c r="I249">
        <f>VALUE(LEFT($G249,1))*VALUE(LEFT($H249,1))</f>
        <v/>
      </c>
      <c r="J249">
        <f>IF($I249&gt;=20,"Critical",IF($I249&gt;=15,"High",IF($I249&gt;=10,"Medium",IF($I249&gt;=5,"Low",IF($I249&gt;0,"Very Low","")))))</f>
        <v/>
      </c>
      <c r="K249" s="5" t="n"/>
      <c r="O249">
        <f>VALUE(LEFT($M249,1))*VALUE(LEFT($N249,1))</f>
        <v/>
      </c>
      <c r="P249">
        <f>IF($O249&gt;=20,"Critical",IF($O249&gt;=15,"High",IF($O249&gt;=10,"Medium",IF($O249&gt;=5,"Low",IF($O249&gt;0,"Very Low","")))))</f>
        <v/>
      </c>
      <c r="S249" s="5" t="n"/>
      <c r="V249" s="5" t="n"/>
      <c r="W249" s="6" t="n"/>
      <c r="X249" s="6" t="n"/>
      <c r="Z249" s="5" t="n"/>
    </row>
    <row r="250">
      <c r="D250" s="5" t="n"/>
      <c r="E250" s="5" t="n"/>
      <c r="F250" s="5" t="n"/>
      <c r="I250">
        <f>VALUE(LEFT($G250,1))*VALUE(LEFT($H250,1))</f>
        <v/>
      </c>
      <c r="J250">
        <f>IF($I250&gt;=20,"Critical",IF($I250&gt;=15,"High",IF($I250&gt;=10,"Medium",IF($I250&gt;=5,"Low",IF($I250&gt;0,"Very Low","")))))</f>
        <v/>
      </c>
      <c r="K250" s="5" t="n"/>
      <c r="O250">
        <f>VALUE(LEFT($M250,1))*VALUE(LEFT($N250,1))</f>
        <v/>
      </c>
      <c r="P250">
        <f>IF($O250&gt;=20,"Critical",IF($O250&gt;=15,"High",IF($O250&gt;=10,"Medium",IF($O250&gt;=5,"Low",IF($O250&gt;0,"Very Low","")))))</f>
        <v/>
      </c>
      <c r="S250" s="5" t="n"/>
      <c r="V250" s="5" t="n"/>
      <c r="W250" s="6" t="n"/>
      <c r="X250" s="6" t="n"/>
      <c r="Z250" s="5" t="n"/>
    </row>
    <row r="251">
      <c r="D251" s="5" t="n"/>
      <c r="E251" s="5" t="n"/>
      <c r="F251" s="5" t="n"/>
      <c r="I251">
        <f>VALUE(LEFT($G251,1))*VALUE(LEFT($H251,1))</f>
        <v/>
      </c>
      <c r="J251">
        <f>IF($I251&gt;=20,"Critical",IF($I251&gt;=15,"High",IF($I251&gt;=10,"Medium",IF($I251&gt;=5,"Low",IF($I251&gt;0,"Very Low","")))))</f>
        <v/>
      </c>
      <c r="K251" s="5" t="n"/>
      <c r="O251">
        <f>VALUE(LEFT($M251,1))*VALUE(LEFT($N251,1))</f>
        <v/>
      </c>
      <c r="P251">
        <f>IF($O251&gt;=20,"Critical",IF($O251&gt;=15,"High",IF($O251&gt;=10,"Medium",IF($O251&gt;=5,"Low",IF($O251&gt;0,"Very Low","")))))</f>
        <v/>
      </c>
      <c r="S251" s="5" t="n"/>
      <c r="V251" s="5" t="n"/>
      <c r="W251" s="6" t="n"/>
      <c r="X251" s="6" t="n"/>
      <c r="Z251" s="5" t="n"/>
    </row>
    <row r="252">
      <c r="D252" s="5" t="n"/>
      <c r="E252" s="5" t="n"/>
      <c r="F252" s="5" t="n"/>
      <c r="I252">
        <f>VALUE(LEFT($G252,1))*VALUE(LEFT($H252,1))</f>
        <v/>
      </c>
      <c r="J252">
        <f>IF($I252&gt;=20,"Critical",IF($I252&gt;=15,"High",IF($I252&gt;=10,"Medium",IF($I252&gt;=5,"Low",IF($I252&gt;0,"Very Low","")))))</f>
        <v/>
      </c>
      <c r="K252" s="5" t="n"/>
      <c r="O252">
        <f>VALUE(LEFT($M252,1))*VALUE(LEFT($N252,1))</f>
        <v/>
      </c>
      <c r="P252">
        <f>IF($O252&gt;=20,"Critical",IF($O252&gt;=15,"High",IF($O252&gt;=10,"Medium",IF($O252&gt;=5,"Low",IF($O252&gt;0,"Very Low","")))))</f>
        <v/>
      </c>
      <c r="S252" s="5" t="n"/>
      <c r="V252" s="5" t="n"/>
      <c r="W252" s="6" t="n"/>
      <c r="X252" s="6" t="n"/>
      <c r="Z252" s="5" t="n"/>
    </row>
    <row r="253">
      <c r="D253" s="5" t="n"/>
      <c r="E253" s="5" t="n"/>
      <c r="F253" s="5" t="n"/>
      <c r="I253">
        <f>VALUE(LEFT($G253,1))*VALUE(LEFT($H253,1))</f>
        <v/>
      </c>
      <c r="J253">
        <f>IF($I253&gt;=20,"Critical",IF($I253&gt;=15,"High",IF($I253&gt;=10,"Medium",IF($I253&gt;=5,"Low",IF($I253&gt;0,"Very Low","")))))</f>
        <v/>
      </c>
      <c r="K253" s="5" t="n"/>
      <c r="O253">
        <f>VALUE(LEFT($M253,1))*VALUE(LEFT($N253,1))</f>
        <v/>
      </c>
      <c r="P253">
        <f>IF($O253&gt;=20,"Critical",IF($O253&gt;=15,"High",IF($O253&gt;=10,"Medium",IF($O253&gt;=5,"Low",IF($O253&gt;0,"Very Low","")))))</f>
        <v/>
      </c>
      <c r="S253" s="5" t="n"/>
      <c r="V253" s="5" t="n"/>
      <c r="W253" s="6" t="n"/>
      <c r="X253" s="6" t="n"/>
      <c r="Z253" s="5" t="n"/>
    </row>
    <row r="254">
      <c r="D254" s="5" t="n"/>
      <c r="E254" s="5" t="n"/>
      <c r="F254" s="5" t="n"/>
      <c r="I254">
        <f>VALUE(LEFT($G254,1))*VALUE(LEFT($H254,1))</f>
        <v/>
      </c>
      <c r="J254">
        <f>IF($I254&gt;=20,"Critical",IF($I254&gt;=15,"High",IF($I254&gt;=10,"Medium",IF($I254&gt;=5,"Low",IF($I254&gt;0,"Very Low","")))))</f>
        <v/>
      </c>
      <c r="K254" s="5" t="n"/>
      <c r="O254">
        <f>VALUE(LEFT($M254,1))*VALUE(LEFT($N254,1))</f>
        <v/>
      </c>
      <c r="P254">
        <f>IF($O254&gt;=20,"Critical",IF($O254&gt;=15,"High",IF($O254&gt;=10,"Medium",IF($O254&gt;=5,"Low",IF($O254&gt;0,"Very Low","")))))</f>
        <v/>
      </c>
      <c r="S254" s="5" t="n"/>
      <c r="V254" s="5" t="n"/>
      <c r="W254" s="6" t="n"/>
      <c r="X254" s="6" t="n"/>
      <c r="Z254" s="5" t="n"/>
    </row>
    <row r="255">
      <c r="D255" s="5" t="n"/>
      <c r="E255" s="5" t="n"/>
      <c r="F255" s="5" t="n"/>
      <c r="I255">
        <f>VALUE(LEFT($G255,1))*VALUE(LEFT($H255,1))</f>
        <v/>
      </c>
      <c r="J255">
        <f>IF($I255&gt;=20,"Critical",IF($I255&gt;=15,"High",IF($I255&gt;=10,"Medium",IF($I255&gt;=5,"Low",IF($I255&gt;0,"Very Low","")))))</f>
        <v/>
      </c>
      <c r="K255" s="5" t="n"/>
      <c r="O255">
        <f>VALUE(LEFT($M255,1))*VALUE(LEFT($N255,1))</f>
        <v/>
      </c>
      <c r="P255">
        <f>IF($O255&gt;=20,"Critical",IF($O255&gt;=15,"High",IF($O255&gt;=10,"Medium",IF($O255&gt;=5,"Low",IF($O255&gt;0,"Very Low","")))))</f>
        <v/>
      </c>
      <c r="S255" s="5" t="n"/>
      <c r="V255" s="5" t="n"/>
      <c r="W255" s="6" t="n"/>
      <c r="X255" s="6" t="n"/>
      <c r="Z255" s="5" t="n"/>
    </row>
    <row r="256">
      <c r="D256" s="5" t="n"/>
      <c r="E256" s="5" t="n"/>
      <c r="F256" s="5" t="n"/>
      <c r="I256">
        <f>VALUE(LEFT($G256,1))*VALUE(LEFT($H256,1))</f>
        <v/>
      </c>
      <c r="J256">
        <f>IF($I256&gt;=20,"Critical",IF($I256&gt;=15,"High",IF($I256&gt;=10,"Medium",IF($I256&gt;=5,"Low",IF($I256&gt;0,"Very Low","")))))</f>
        <v/>
      </c>
      <c r="K256" s="5" t="n"/>
      <c r="O256">
        <f>VALUE(LEFT($M256,1))*VALUE(LEFT($N256,1))</f>
        <v/>
      </c>
      <c r="P256">
        <f>IF($O256&gt;=20,"Critical",IF($O256&gt;=15,"High",IF($O256&gt;=10,"Medium",IF($O256&gt;=5,"Low",IF($O256&gt;0,"Very Low","")))))</f>
        <v/>
      </c>
      <c r="S256" s="5" t="n"/>
      <c r="V256" s="5" t="n"/>
      <c r="W256" s="6" t="n"/>
      <c r="X256" s="6" t="n"/>
      <c r="Z256" s="5" t="n"/>
    </row>
    <row r="257">
      <c r="D257" s="5" t="n"/>
      <c r="E257" s="5" t="n"/>
      <c r="F257" s="5" t="n"/>
      <c r="I257">
        <f>VALUE(LEFT($G257,1))*VALUE(LEFT($H257,1))</f>
        <v/>
      </c>
      <c r="J257">
        <f>IF($I257&gt;=20,"Critical",IF($I257&gt;=15,"High",IF($I257&gt;=10,"Medium",IF($I257&gt;=5,"Low",IF($I257&gt;0,"Very Low","")))))</f>
        <v/>
      </c>
      <c r="K257" s="5" t="n"/>
      <c r="O257">
        <f>VALUE(LEFT($M257,1))*VALUE(LEFT($N257,1))</f>
        <v/>
      </c>
      <c r="P257">
        <f>IF($O257&gt;=20,"Critical",IF($O257&gt;=15,"High",IF($O257&gt;=10,"Medium",IF($O257&gt;=5,"Low",IF($O257&gt;0,"Very Low","")))))</f>
        <v/>
      </c>
      <c r="S257" s="5" t="n"/>
      <c r="V257" s="5" t="n"/>
      <c r="W257" s="6" t="n"/>
      <c r="X257" s="6" t="n"/>
      <c r="Z257" s="5" t="n"/>
    </row>
    <row r="258">
      <c r="D258" s="5" t="n"/>
      <c r="E258" s="5" t="n"/>
      <c r="F258" s="5" t="n"/>
      <c r="I258">
        <f>VALUE(LEFT($G258,1))*VALUE(LEFT($H258,1))</f>
        <v/>
      </c>
      <c r="J258">
        <f>IF($I258&gt;=20,"Critical",IF($I258&gt;=15,"High",IF($I258&gt;=10,"Medium",IF($I258&gt;=5,"Low",IF($I258&gt;0,"Very Low","")))))</f>
        <v/>
      </c>
      <c r="K258" s="5" t="n"/>
      <c r="O258">
        <f>VALUE(LEFT($M258,1))*VALUE(LEFT($N258,1))</f>
        <v/>
      </c>
      <c r="P258">
        <f>IF($O258&gt;=20,"Critical",IF($O258&gt;=15,"High",IF($O258&gt;=10,"Medium",IF($O258&gt;=5,"Low",IF($O258&gt;0,"Very Low","")))))</f>
        <v/>
      </c>
      <c r="S258" s="5" t="n"/>
      <c r="V258" s="5" t="n"/>
      <c r="W258" s="6" t="n"/>
      <c r="X258" s="6" t="n"/>
      <c r="Z258" s="5" t="n"/>
    </row>
    <row r="259">
      <c r="D259" s="5" t="n"/>
      <c r="E259" s="5" t="n"/>
      <c r="F259" s="5" t="n"/>
      <c r="I259">
        <f>VALUE(LEFT($G259,1))*VALUE(LEFT($H259,1))</f>
        <v/>
      </c>
      <c r="J259">
        <f>IF($I259&gt;=20,"Critical",IF($I259&gt;=15,"High",IF($I259&gt;=10,"Medium",IF($I259&gt;=5,"Low",IF($I259&gt;0,"Very Low","")))))</f>
        <v/>
      </c>
      <c r="K259" s="5" t="n"/>
      <c r="O259">
        <f>VALUE(LEFT($M259,1))*VALUE(LEFT($N259,1))</f>
        <v/>
      </c>
      <c r="P259">
        <f>IF($O259&gt;=20,"Critical",IF($O259&gt;=15,"High",IF($O259&gt;=10,"Medium",IF($O259&gt;=5,"Low",IF($O259&gt;0,"Very Low","")))))</f>
        <v/>
      </c>
      <c r="S259" s="5" t="n"/>
      <c r="V259" s="5" t="n"/>
      <c r="W259" s="6" t="n"/>
      <c r="X259" s="6" t="n"/>
      <c r="Z259" s="5" t="n"/>
    </row>
    <row r="260">
      <c r="D260" s="5" t="n"/>
      <c r="E260" s="5" t="n"/>
      <c r="F260" s="5" t="n"/>
      <c r="I260">
        <f>VALUE(LEFT($G260,1))*VALUE(LEFT($H260,1))</f>
        <v/>
      </c>
      <c r="J260">
        <f>IF($I260&gt;=20,"Critical",IF($I260&gt;=15,"High",IF($I260&gt;=10,"Medium",IF($I260&gt;=5,"Low",IF($I260&gt;0,"Very Low","")))))</f>
        <v/>
      </c>
      <c r="K260" s="5" t="n"/>
      <c r="O260">
        <f>VALUE(LEFT($M260,1))*VALUE(LEFT($N260,1))</f>
        <v/>
      </c>
      <c r="P260">
        <f>IF($O260&gt;=20,"Critical",IF($O260&gt;=15,"High",IF($O260&gt;=10,"Medium",IF($O260&gt;=5,"Low",IF($O260&gt;0,"Very Low","")))))</f>
        <v/>
      </c>
      <c r="S260" s="5" t="n"/>
      <c r="V260" s="5" t="n"/>
      <c r="W260" s="6" t="n"/>
      <c r="X260" s="6" t="n"/>
      <c r="Z260" s="5" t="n"/>
    </row>
    <row r="261">
      <c r="D261" s="5" t="n"/>
      <c r="E261" s="5" t="n"/>
      <c r="F261" s="5" t="n"/>
      <c r="I261">
        <f>VALUE(LEFT($G261,1))*VALUE(LEFT($H261,1))</f>
        <v/>
      </c>
      <c r="J261">
        <f>IF($I261&gt;=20,"Critical",IF($I261&gt;=15,"High",IF($I261&gt;=10,"Medium",IF($I261&gt;=5,"Low",IF($I261&gt;0,"Very Low","")))))</f>
        <v/>
      </c>
      <c r="K261" s="5" t="n"/>
      <c r="O261">
        <f>VALUE(LEFT($M261,1))*VALUE(LEFT($N261,1))</f>
        <v/>
      </c>
      <c r="P261">
        <f>IF($O261&gt;=20,"Critical",IF($O261&gt;=15,"High",IF($O261&gt;=10,"Medium",IF($O261&gt;=5,"Low",IF($O261&gt;0,"Very Low","")))))</f>
        <v/>
      </c>
      <c r="S261" s="5" t="n"/>
      <c r="V261" s="5" t="n"/>
      <c r="W261" s="6" t="n"/>
      <c r="X261" s="6" t="n"/>
      <c r="Z261" s="5" t="n"/>
    </row>
    <row r="262">
      <c r="D262" s="5" t="n"/>
      <c r="E262" s="5" t="n"/>
      <c r="F262" s="5" t="n"/>
      <c r="I262">
        <f>VALUE(LEFT($G262,1))*VALUE(LEFT($H262,1))</f>
        <v/>
      </c>
      <c r="J262">
        <f>IF($I262&gt;=20,"Critical",IF($I262&gt;=15,"High",IF($I262&gt;=10,"Medium",IF($I262&gt;=5,"Low",IF($I262&gt;0,"Very Low","")))))</f>
        <v/>
      </c>
      <c r="K262" s="5" t="n"/>
      <c r="O262">
        <f>VALUE(LEFT($M262,1))*VALUE(LEFT($N262,1))</f>
        <v/>
      </c>
      <c r="P262">
        <f>IF($O262&gt;=20,"Critical",IF($O262&gt;=15,"High",IF($O262&gt;=10,"Medium",IF($O262&gt;=5,"Low",IF($O262&gt;0,"Very Low","")))))</f>
        <v/>
      </c>
      <c r="S262" s="5" t="n"/>
      <c r="V262" s="5" t="n"/>
      <c r="W262" s="6" t="n"/>
      <c r="X262" s="6" t="n"/>
      <c r="Z262" s="5" t="n"/>
    </row>
    <row r="263">
      <c r="D263" s="5" t="n"/>
      <c r="E263" s="5" t="n"/>
      <c r="F263" s="5" t="n"/>
      <c r="I263">
        <f>VALUE(LEFT($G263,1))*VALUE(LEFT($H263,1))</f>
        <v/>
      </c>
      <c r="J263">
        <f>IF($I263&gt;=20,"Critical",IF($I263&gt;=15,"High",IF($I263&gt;=10,"Medium",IF($I263&gt;=5,"Low",IF($I263&gt;0,"Very Low","")))))</f>
        <v/>
      </c>
      <c r="K263" s="5" t="n"/>
      <c r="O263">
        <f>VALUE(LEFT($M263,1))*VALUE(LEFT($N263,1))</f>
        <v/>
      </c>
      <c r="P263">
        <f>IF($O263&gt;=20,"Critical",IF($O263&gt;=15,"High",IF($O263&gt;=10,"Medium",IF($O263&gt;=5,"Low",IF($O263&gt;0,"Very Low","")))))</f>
        <v/>
      </c>
      <c r="S263" s="5" t="n"/>
      <c r="V263" s="5" t="n"/>
      <c r="W263" s="6" t="n"/>
      <c r="X263" s="6" t="n"/>
      <c r="Z263" s="5" t="n"/>
    </row>
    <row r="264">
      <c r="D264" s="5" t="n"/>
      <c r="E264" s="5" t="n"/>
      <c r="F264" s="5" t="n"/>
      <c r="I264">
        <f>VALUE(LEFT($G264,1))*VALUE(LEFT($H264,1))</f>
        <v/>
      </c>
      <c r="J264">
        <f>IF($I264&gt;=20,"Critical",IF($I264&gt;=15,"High",IF($I264&gt;=10,"Medium",IF($I264&gt;=5,"Low",IF($I264&gt;0,"Very Low","")))))</f>
        <v/>
      </c>
      <c r="K264" s="5" t="n"/>
      <c r="O264">
        <f>VALUE(LEFT($M264,1))*VALUE(LEFT($N264,1))</f>
        <v/>
      </c>
      <c r="P264">
        <f>IF($O264&gt;=20,"Critical",IF($O264&gt;=15,"High",IF($O264&gt;=10,"Medium",IF($O264&gt;=5,"Low",IF($O264&gt;0,"Very Low","")))))</f>
        <v/>
      </c>
      <c r="S264" s="5" t="n"/>
      <c r="V264" s="5" t="n"/>
      <c r="W264" s="6" t="n"/>
      <c r="X264" s="6" t="n"/>
      <c r="Z264" s="5" t="n"/>
    </row>
    <row r="265">
      <c r="D265" s="5" t="n"/>
      <c r="E265" s="5" t="n"/>
      <c r="F265" s="5" t="n"/>
      <c r="I265">
        <f>VALUE(LEFT($G265,1))*VALUE(LEFT($H265,1))</f>
        <v/>
      </c>
      <c r="J265">
        <f>IF($I265&gt;=20,"Critical",IF($I265&gt;=15,"High",IF($I265&gt;=10,"Medium",IF($I265&gt;=5,"Low",IF($I265&gt;0,"Very Low","")))))</f>
        <v/>
      </c>
      <c r="K265" s="5" t="n"/>
      <c r="O265">
        <f>VALUE(LEFT($M265,1))*VALUE(LEFT($N265,1))</f>
        <v/>
      </c>
      <c r="P265">
        <f>IF($O265&gt;=20,"Critical",IF($O265&gt;=15,"High",IF($O265&gt;=10,"Medium",IF($O265&gt;=5,"Low",IF($O265&gt;0,"Very Low","")))))</f>
        <v/>
      </c>
      <c r="S265" s="5" t="n"/>
      <c r="V265" s="5" t="n"/>
      <c r="W265" s="6" t="n"/>
      <c r="X265" s="6" t="n"/>
      <c r="Z265" s="5" t="n"/>
    </row>
    <row r="266">
      <c r="D266" s="5" t="n"/>
      <c r="E266" s="5" t="n"/>
      <c r="F266" s="5" t="n"/>
      <c r="I266">
        <f>VALUE(LEFT($G266,1))*VALUE(LEFT($H266,1))</f>
        <v/>
      </c>
      <c r="J266">
        <f>IF($I266&gt;=20,"Critical",IF($I266&gt;=15,"High",IF($I266&gt;=10,"Medium",IF($I266&gt;=5,"Low",IF($I266&gt;0,"Very Low","")))))</f>
        <v/>
      </c>
      <c r="K266" s="5" t="n"/>
      <c r="O266">
        <f>VALUE(LEFT($M266,1))*VALUE(LEFT($N266,1))</f>
        <v/>
      </c>
      <c r="P266">
        <f>IF($O266&gt;=20,"Critical",IF($O266&gt;=15,"High",IF($O266&gt;=10,"Medium",IF($O266&gt;=5,"Low",IF($O266&gt;0,"Very Low","")))))</f>
        <v/>
      </c>
      <c r="S266" s="5" t="n"/>
      <c r="V266" s="5" t="n"/>
      <c r="W266" s="6" t="n"/>
      <c r="X266" s="6" t="n"/>
      <c r="Z266" s="5" t="n"/>
    </row>
    <row r="267">
      <c r="D267" s="5" t="n"/>
      <c r="E267" s="5" t="n"/>
      <c r="F267" s="5" t="n"/>
      <c r="I267">
        <f>VALUE(LEFT($G267,1))*VALUE(LEFT($H267,1))</f>
        <v/>
      </c>
      <c r="J267">
        <f>IF($I267&gt;=20,"Critical",IF($I267&gt;=15,"High",IF($I267&gt;=10,"Medium",IF($I267&gt;=5,"Low",IF($I267&gt;0,"Very Low","")))))</f>
        <v/>
      </c>
      <c r="K267" s="5" t="n"/>
      <c r="O267">
        <f>VALUE(LEFT($M267,1))*VALUE(LEFT($N267,1))</f>
        <v/>
      </c>
      <c r="P267">
        <f>IF($O267&gt;=20,"Critical",IF($O267&gt;=15,"High",IF($O267&gt;=10,"Medium",IF($O267&gt;=5,"Low",IF($O267&gt;0,"Very Low","")))))</f>
        <v/>
      </c>
      <c r="S267" s="5" t="n"/>
      <c r="V267" s="5" t="n"/>
      <c r="W267" s="6" t="n"/>
      <c r="X267" s="6" t="n"/>
      <c r="Z267" s="5" t="n"/>
    </row>
    <row r="268">
      <c r="D268" s="5" t="n"/>
      <c r="E268" s="5" t="n"/>
      <c r="F268" s="5" t="n"/>
      <c r="I268">
        <f>VALUE(LEFT($G268,1))*VALUE(LEFT($H268,1))</f>
        <v/>
      </c>
      <c r="J268">
        <f>IF($I268&gt;=20,"Critical",IF($I268&gt;=15,"High",IF($I268&gt;=10,"Medium",IF($I268&gt;=5,"Low",IF($I268&gt;0,"Very Low","")))))</f>
        <v/>
      </c>
      <c r="K268" s="5" t="n"/>
      <c r="O268">
        <f>VALUE(LEFT($M268,1))*VALUE(LEFT($N268,1))</f>
        <v/>
      </c>
      <c r="P268">
        <f>IF($O268&gt;=20,"Critical",IF($O268&gt;=15,"High",IF($O268&gt;=10,"Medium",IF($O268&gt;=5,"Low",IF($O268&gt;0,"Very Low","")))))</f>
        <v/>
      </c>
      <c r="S268" s="5" t="n"/>
      <c r="V268" s="5" t="n"/>
      <c r="W268" s="6" t="n"/>
      <c r="X268" s="6" t="n"/>
      <c r="Z268" s="5" t="n"/>
    </row>
    <row r="269">
      <c r="D269" s="5" t="n"/>
      <c r="E269" s="5" t="n"/>
      <c r="F269" s="5" t="n"/>
      <c r="I269">
        <f>VALUE(LEFT($G269,1))*VALUE(LEFT($H269,1))</f>
        <v/>
      </c>
      <c r="J269">
        <f>IF($I269&gt;=20,"Critical",IF($I269&gt;=15,"High",IF($I269&gt;=10,"Medium",IF($I269&gt;=5,"Low",IF($I269&gt;0,"Very Low","")))))</f>
        <v/>
      </c>
      <c r="K269" s="5" t="n"/>
      <c r="O269">
        <f>VALUE(LEFT($M269,1))*VALUE(LEFT($N269,1))</f>
        <v/>
      </c>
      <c r="P269">
        <f>IF($O269&gt;=20,"Critical",IF($O269&gt;=15,"High",IF($O269&gt;=10,"Medium",IF($O269&gt;=5,"Low",IF($O269&gt;0,"Very Low","")))))</f>
        <v/>
      </c>
      <c r="S269" s="5" t="n"/>
      <c r="V269" s="5" t="n"/>
      <c r="W269" s="6" t="n"/>
      <c r="X269" s="6" t="n"/>
      <c r="Z269" s="5" t="n"/>
    </row>
    <row r="270">
      <c r="D270" s="5" t="n"/>
      <c r="E270" s="5" t="n"/>
      <c r="F270" s="5" t="n"/>
      <c r="I270">
        <f>VALUE(LEFT($G270,1))*VALUE(LEFT($H270,1))</f>
        <v/>
      </c>
      <c r="J270">
        <f>IF($I270&gt;=20,"Critical",IF($I270&gt;=15,"High",IF($I270&gt;=10,"Medium",IF($I270&gt;=5,"Low",IF($I270&gt;0,"Very Low","")))))</f>
        <v/>
      </c>
      <c r="K270" s="5" t="n"/>
      <c r="O270">
        <f>VALUE(LEFT($M270,1))*VALUE(LEFT($N270,1))</f>
        <v/>
      </c>
      <c r="P270">
        <f>IF($O270&gt;=20,"Critical",IF($O270&gt;=15,"High",IF($O270&gt;=10,"Medium",IF($O270&gt;=5,"Low",IF($O270&gt;0,"Very Low","")))))</f>
        <v/>
      </c>
      <c r="S270" s="5" t="n"/>
      <c r="V270" s="5" t="n"/>
      <c r="W270" s="6" t="n"/>
      <c r="X270" s="6" t="n"/>
      <c r="Z270" s="5" t="n"/>
    </row>
    <row r="271">
      <c r="D271" s="5" t="n"/>
      <c r="E271" s="5" t="n"/>
      <c r="F271" s="5" t="n"/>
      <c r="I271">
        <f>VALUE(LEFT($G271,1))*VALUE(LEFT($H271,1))</f>
        <v/>
      </c>
      <c r="J271">
        <f>IF($I271&gt;=20,"Critical",IF($I271&gt;=15,"High",IF($I271&gt;=10,"Medium",IF($I271&gt;=5,"Low",IF($I271&gt;0,"Very Low","")))))</f>
        <v/>
      </c>
      <c r="K271" s="5" t="n"/>
      <c r="O271">
        <f>VALUE(LEFT($M271,1))*VALUE(LEFT($N271,1))</f>
        <v/>
      </c>
      <c r="P271">
        <f>IF($O271&gt;=20,"Critical",IF($O271&gt;=15,"High",IF($O271&gt;=10,"Medium",IF($O271&gt;=5,"Low",IF($O271&gt;0,"Very Low","")))))</f>
        <v/>
      </c>
      <c r="S271" s="5" t="n"/>
      <c r="V271" s="5" t="n"/>
      <c r="W271" s="6" t="n"/>
      <c r="X271" s="6" t="n"/>
      <c r="Z271" s="5" t="n"/>
    </row>
    <row r="272">
      <c r="D272" s="5" t="n"/>
      <c r="E272" s="5" t="n"/>
      <c r="F272" s="5" t="n"/>
      <c r="I272">
        <f>VALUE(LEFT($G272,1))*VALUE(LEFT($H272,1))</f>
        <v/>
      </c>
      <c r="J272">
        <f>IF($I272&gt;=20,"Critical",IF($I272&gt;=15,"High",IF($I272&gt;=10,"Medium",IF($I272&gt;=5,"Low",IF($I272&gt;0,"Very Low","")))))</f>
        <v/>
      </c>
      <c r="K272" s="5" t="n"/>
      <c r="O272">
        <f>VALUE(LEFT($M272,1))*VALUE(LEFT($N272,1))</f>
        <v/>
      </c>
      <c r="P272">
        <f>IF($O272&gt;=20,"Critical",IF($O272&gt;=15,"High",IF($O272&gt;=10,"Medium",IF($O272&gt;=5,"Low",IF($O272&gt;0,"Very Low","")))))</f>
        <v/>
      </c>
      <c r="S272" s="5" t="n"/>
      <c r="V272" s="5" t="n"/>
      <c r="W272" s="6" t="n"/>
      <c r="X272" s="6" t="n"/>
      <c r="Z272" s="5" t="n"/>
    </row>
    <row r="273">
      <c r="D273" s="5" t="n"/>
      <c r="E273" s="5" t="n"/>
      <c r="F273" s="5" t="n"/>
      <c r="I273">
        <f>VALUE(LEFT($G273,1))*VALUE(LEFT($H273,1))</f>
        <v/>
      </c>
      <c r="J273">
        <f>IF($I273&gt;=20,"Critical",IF($I273&gt;=15,"High",IF($I273&gt;=10,"Medium",IF($I273&gt;=5,"Low",IF($I273&gt;0,"Very Low","")))))</f>
        <v/>
      </c>
      <c r="K273" s="5" t="n"/>
      <c r="O273">
        <f>VALUE(LEFT($M273,1))*VALUE(LEFT($N273,1))</f>
        <v/>
      </c>
      <c r="P273">
        <f>IF($O273&gt;=20,"Critical",IF($O273&gt;=15,"High",IF($O273&gt;=10,"Medium",IF($O273&gt;=5,"Low",IF($O273&gt;0,"Very Low","")))))</f>
        <v/>
      </c>
      <c r="S273" s="5" t="n"/>
      <c r="V273" s="5" t="n"/>
      <c r="W273" s="6" t="n"/>
      <c r="X273" s="6" t="n"/>
      <c r="Z273" s="5" t="n"/>
    </row>
    <row r="274">
      <c r="D274" s="5" t="n"/>
      <c r="E274" s="5" t="n"/>
      <c r="F274" s="5" t="n"/>
      <c r="I274">
        <f>VALUE(LEFT($G274,1))*VALUE(LEFT($H274,1))</f>
        <v/>
      </c>
      <c r="J274">
        <f>IF($I274&gt;=20,"Critical",IF($I274&gt;=15,"High",IF($I274&gt;=10,"Medium",IF($I274&gt;=5,"Low",IF($I274&gt;0,"Very Low","")))))</f>
        <v/>
      </c>
      <c r="K274" s="5" t="n"/>
      <c r="O274">
        <f>VALUE(LEFT($M274,1))*VALUE(LEFT($N274,1))</f>
        <v/>
      </c>
      <c r="P274">
        <f>IF($O274&gt;=20,"Critical",IF($O274&gt;=15,"High",IF($O274&gt;=10,"Medium",IF($O274&gt;=5,"Low",IF($O274&gt;0,"Very Low","")))))</f>
        <v/>
      </c>
      <c r="S274" s="5" t="n"/>
      <c r="V274" s="5" t="n"/>
      <c r="W274" s="6" t="n"/>
      <c r="X274" s="6" t="n"/>
      <c r="Z274" s="5" t="n"/>
    </row>
    <row r="275">
      <c r="D275" s="5" t="n"/>
      <c r="E275" s="5" t="n"/>
      <c r="F275" s="5" t="n"/>
      <c r="I275">
        <f>VALUE(LEFT($G275,1))*VALUE(LEFT($H275,1))</f>
        <v/>
      </c>
      <c r="J275">
        <f>IF($I275&gt;=20,"Critical",IF($I275&gt;=15,"High",IF($I275&gt;=10,"Medium",IF($I275&gt;=5,"Low",IF($I275&gt;0,"Very Low","")))))</f>
        <v/>
      </c>
      <c r="K275" s="5" t="n"/>
      <c r="O275">
        <f>VALUE(LEFT($M275,1))*VALUE(LEFT($N275,1))</f>
        <v/>
      </c>
      <c r="P275">
        <f>IF($O275&gt;=20,"Critical",IF($O275&gt;=15,"High",IF($O275&gt;=10,"Medium",IF($O275&gt;=5,"Low",IF($O275&gt;0,"Very Low","")))))</f>
        <v/>
      </c>
      <c r="S275" s="5" t="n"/>
      <c r="V275" s="5" t="n"/>
      <c r="W275" s="6" t="n"/>
      <c r="X275" s="6" t="n"/>
      <c r="Z275" s="5" t="n"/>
    </row>
    <row r="276">
      <c r="D276" s="5" t="n"/>
      <c r="E276" s="5" t="n"/>
      <c r="F276" s="5" t="n"/>
      <c r="I276">
        <f>VALUE(LEFT($G276,1))*VALUE(LEFT($H276,1))</f>
        <v/>
      </c>
      <c r="J276">
        <f>IF($I276&gt;=20,"Critical",IF($I276&gt;=15,"High",IF($I276&gt;=10,"Medium",IF($I276&gt;=5,"Low",IF($I276&gt;0,"Very Low","")))))</f>
        <v/>
      </c>
      <c r="K276" s="5" t="n"/>
      <c r="O276">
        <f>VALUE(LEFT($M276,1))*VALUE(LEFT($N276,1))</f>
        <v/>
      </c>
      <c r="P276">
        <f>IF($O276&gt;=20,"Critical",IF($O276&gt;=15,"High",IF($O276&gt;=10,"Medium",IF($O276&gt;=5,"Low",IF($O276&gt;0,"Very Low","")))))</f>
        <v/>
      </c>
      <c r="S276" s="5" t="n"/>
      <c r="V276" s="5" t="n"/>
      <c r="W276" s="6" t="n"/>
      <c r="X276" s="6" t="n"/>
      <c r="Z276" s="5" t="n"/>
    </row>
    <row r="277">
      <c r="D277" s="5" t="n"/>
      <c r="E277" s="5" t="n"/>
      <c r="F277" s="5" t="n"/>
      <c r="I277">
        <f>VALUE(LEFT($G277,1))*VALUE(LEFT($H277,1))</f>
        <v/>
      </c>
      <c r="J277">
        <f>IF($I277&gt;=20,"Critical",IF($I277&gt;=15,"High",IF($I277&gt;=10,"Medium",IF($I277&gt;=5,"Low",IF($I277&gt;0,"Very Low","")))))</f>
        <v/>
      </c>
      <c r="K277" s="5" t="n"/>
      <c r="O277">
        <f>VALUE(LEFT($M277,1))*VALUE(LEFT($N277,1))</f>
        <v/>
      </c>
      <c r="P277">
        <f>IF($O277&gt;=20,"Critical",IF($O277&gt;=15,"High",IF($O277&gt;=10,"Medium",IF($O277&gt;=5,"Low",IF($O277&gt;0,"Very Low","")))))</f>
        <v/>
      </c>
      <c r="S277" s="5" t="n"/>
      <c r="V277" s="5" t="n"/>
      <c r="W277" s="6" t="n"/>
      <c r="X277" s="6" t="n"/>
      <c r="Z277" s="5" t="n"/>
    </row>
    <row r="278">
      <c r="D278" s="5" t="n"/>
      <c r="E278" s="5" t="n"/>
      <c r="F278" s="5" t="n"/>
      <c r="I278">
        <f>VALUE(LEFT($G278,1))*VALUE(LEFT($H278,1))</f>
        <v/>
      </c>
      <c r="J278">
        <f>IF($I278&gt;=20,"Critical",IF($I278&gt;=15,"High",IF($I278&gt;=10,"Medium",IF($I278&gt;=5,"Low",IF($I278&gt;0,"Very Low","")))))</f>
        <v/>
      </c>
      <c r="K278" s="5" t="n"/>
      <c r="O278">
        <f>VALUE(LEFT($M278,1))*VALUE(LEFT($N278,1))</f>
        <v/>
      </c>
      <c r="P278">
        <f>IF($O278&gt;=20,"Critical",IF($O278&gt;=15,"High",IF($O278&gt;=10,"Medium",IF($O278&gt;=5,"Low",IF($O278&gt;0,"Very Low","")))))</f>
        <v/>
      </c>
      <c r="S278" s="5" t="n"/>
      <c r="V278" s="5" t="n"/>
      <c r="W278" s="6" t="n"/>
      <c r="X278" s="6" t="n"/>
      <c r="Z278" s="5" t="n"/>
    </row>
    <row r="279">
      <c r="D279" s="5" t="n"/>
      <c r="E279" s="5" t="n"/>
      <c r="F279" s="5" t="n"/>
      <c r="I279">
        <f>VALUE(LEFT($G279,1))*VALUE(LEFT($H279,1))</f>
        <v/>
      </c>
      <c r="J279">
        <f>IF($I279&gt;=20,"Critical",IF($I279&gt;=15,"High",IF($I279&gt;=10,"Medium",IF($I279&gt;=5,"Low",IF($I279&gt;0,"Very Low","")))))</f>
        <v/>
      </c>
      <c r="K279" s="5" t="n"/>
      <c r="O279">
        <f>VALUE(LEFT($M279,1))*VALUE(LEFT($N279,1))</f>
        <v/>
      </c>
      <c r="P279">
        <f>IF($O279&gt;=20,"Critical",IF($O279&gt;=15,"High",IF($O279&gt;=10,"Medium",IF($O279&gt;=5,"Low",IF($O279&gt;0,"Very Low","")))))</f>
        <v/>
      </c>
      <c r="S279" s="5" t="n"/>
      <c r="V279" s="5" t="n"/>
      <c r="W279" s="6" t="n"/>
      <c r="X279" s="6" t="n"/>
      <c r="Z279" s="5" t="n"/>
    </row>
    <row r="280">
      <c r="D280" s="5" t="n"/>
      <c r="E280" s="5" t="n"/>
      <c r="F280" s="5" t="n"/>
      <c r="I280">
        <f>VALUE(LEFT($G280,1))*VALUE(LEFT($H280,1))</f>
        <v/>
      </c>
      <c r="J280">
        <f>IF($I280&gt;=20,"Critical",IF($I280&gt;=15,"High",IF($I280&gt;=10,"Medium",IF($I280&gt;=5,"Low",IF($I280&gt;0,"Very Low","")))))</f>
        <v/>
      </c>
      <c r="K280" s="5" t="n"/>
      <c r="O280">
        <f>VALUE(LEFT($M280,1))*VALUE(LEFT($N280,1))</f>
        <v/>
      </c>
      <c r="P280">
        <f>IF($O280&gt;=20,"Critical",IF($O280&gt;=15,"High",IF($O280&gt;=10,"Medium",IF($O280&gt;=5,"Low",IF($O280&gt;0,"Very Low","")))))</f>
        <v/>
      </c>
      <c r="S280" s="5" t="n"/>
      <c r="V280" s="5" t="n"/>
      <c r="W280" s="6" t="n"/>
      <c r="X280" s="6" t="n"/>
      <c r="Z280" s="5" t="n"/>
    </row>
    <row r="281">
      <c r="D281" s="5" t="n"/>
      <c r="E281" s="5" t="n"/>
      <c r="F281" s="5" t="n"/>
      <c r="I281">
        <f>VALUE(LEFT($G281,1))*VALUE(LEFT($H281,1))</f>
        <v/>
      </c>
      <c r="J281">
        <f>IF($I281&gt;=20,"Critical",IF($I281&gt;=15,"High",IF($I281&gt;=10,"Medium",IF($I281&gt;=5,"Low",IF($I281&gt;0,"Very Low","")))))</f>
        <v/>
      </c>
      <c r="K281" s="5" t="n"/>
      <c r="O281">
        <f>VALUE(LEFT($M281,1))*VALUE(LEFT($N281,1))</f>
        <v/>
      </c>
      <c r="P281">
        <f>IF($O281&gt;=20,"Critical",IF($O281&gt;=15,"High",IF($O281&gt;=10,"Medium",IF($O281&gt;=5,"Low",IF($O281&gt;0,"Very Low","")))))</f>
        <v/>
      </c>
      <c r="S281" s="5" t="n"/>
      <c r="V281" s="5" t="n"/>
      <c r="W281" s="6" t="n"/>
      <c r="X281" s="6" t="n"/>
      <c r="Z281" s="5" t="n"/>
    </row>
    <row r="282">
      <c r="D282" s="5" t="n"/>
      <c r="E282" s="5" t="n"/>
      <c r="F282" s="5" t="n"/>
      <c r="I282">
        <f>VALUE(LEFT($G282,1))*VALUE(LEFT($H282,1))</f>
        <v/>
      </c>
      <c r="J282">
        <f>IF($I282&gt;=20,"Critical",IF($I282&gt;=15,"High",IF($I282&gt;=10,"Medium",IF($I282&gt;=5,"Low",IF($I282&gt;0,"Very Low","")))))</f>
        <v/>
      </c>
      <c r="K282" s="5" t="n"/>
      <c r="O282">
        <f>VALUE(LEFT($M282,1))*VALUE(LEFT($N282,1))</f>
        <v/>
      </c>
      <c r="P282">
        <f>IF($O282&gt;=20,"Critical",IF($O282&gt;=15,"High",IF($O282&gt;=10,"Medium",IF($O282&gt;=5,"Low",IF($O282&gt;0,"Very Low","")))))</f>
        <v/>
      </c>
      <c r="S282" s="5" t="n"/>
      <c r="V282" s="5" t="n"/>
      <c r="W282" s="6" t="n"/>
      <c r="X282" s="6" t="n"/>
      <c r="Z282" s="5" t="n"/>
    </row>
    <row r="283">
      <c r="D283" s="5" t="n"/>
      <c r="E283" s="5" t="n"/>
      <c r="F283" s="5" t="n"/>
      <c r="I283">
        <f>VALUE(LEFT($G283,1))*VALUE(LEFT($H283,1))</f>
        <v/>
      </c>
      <c r="J283">
        <f>IF($I283&gt;=20,"Critical",IF($I283&gt;=15,"High",IF($I283&gt;=10,"Medium",IF($I283&gt;=5,"Low",IF($I283&gt;0,"Very Low","")))))</f>
        <v/>
      </c>
      <c r="K283" s="5" t="n"/>
      <c r="O283">
        <f>VALUE(LEFT($M283,1))*VALUE(LEFT($N283,1))</f>
        <v/>
      </c>
      <c r="P283">
        <f>IF($O283&gt;=20,"Critical",IF($O283&gt;=15,"High",IF($O283&gt;=10,"Medium",IF($O283&gt;=5,"Low",IF($O283&gt;0,"Very Low","")))))</f>
        <v/>
      </c>
      <c r="S283" s="5" t="n"/>
      <c r="V283" s="5" t="n"/>
      <c r="W283" s="6" t="n"/>
      <c r="X283" s="6" t="n"/>
      <c r="Z283" s="5" t="n"/>
    </row>
    <row r="284">
      <c r="D284" s="5" t="n"/>
      <c r="E284" s="5" t="n"/>
      <c r="F284" s="5" t="n"/>
      <c r="I284">
        <f>VALUE(LEFT($G284,1))*VALUE(LEFT($H284,1))</f>
        <v/>
      </c>
      <c r="J284">
        <f>IF($I284&gt;=20,"Critical",IF($I284&gt;=15,"High",IF($I284&gt;=10,"Medium",IF($I284&gt;=5,"Low",IF($I284&gt;0,"Very Low","")))))</f>
        <v/>
      </c>
      <c r="K284" s="5" t="n"/>
      <c r="O284">
        <f>VALUE(LEFT($M284,1))*VALUE(LEFT($N284,1))</f>
        <v/>
      </c>
      <c r="P284">
        <f>IF($O284&gt;=20,"Critical",IF($O284&gt;=15,"High",IF($O284&gt;=10,"Medium",IF($O284&gt;=5,"Low",IF($O284&gt;0,"Very Low","")))))</f>
        <v/>
      </c>
      <c r="S284" s="5" t="n"/>
      <c r="V284" s="5" t="n"/>
      <c r="W284" s="6" t="n"/>
      <c r="X284" s="6" t="n"/>
      <c r="Z284" s="5" t="n"/>
    </row>
    <row r="285">
      <c r="D285" s="5" t="n"/>
      <c r="E285" s="5" t="n"/>
      <c r="F285" s="5" t="n"/>
      <c r="I285">
        <f>VALUE(LEFT($G285,1))*VALUE(LEFT($H285,1))</f>
        <v/>
      </c>
      <c r="J285">
        <f>IF($I285&gt;=20,"Critical",IF($I285&gt;=15,"High",IF($I285&gt;=10,"Medium",IF($I285&gt;=5,"Low",IF($I285&gt;0,"Very Low","")))))</f>
        <v/>
      </c>
      <c r="K285" s="5" t="n"/>
      <c r="O285">
        <f>VALUE(LEFT($M285,1))*VALUE(LEFT($N285,1))</f>
        <v/>
      </c>
      <c r="P285">
        <f>IF($O285&gt;=20,"Critical",IF($O285&gt;=15,"High",IF($O285&gt;=10,"Medium",IF($O285&gt;=5,"Low",IF($O285&gt;0,"Very Low","")))))</f>
        <v/>
      </c>
      <c r="S285" s="5" t="n"/>
      <c r="V285" s="5" t="n"/>
      <c r="W285" s="6" t="n"/>
      <c r="X285" s="6" t="n"/>
      <c r="Z285" s="5" t="n"/>
    </row>
    <row r="286">
      <c r="D286" s="5" t="n"/>
      <c r="E286" s="5" t="n"/>
      <c r="F286" s="5" t="n"/>
      <c r="I286">
        <f>VALUE(LEFT($G286,1))*VALUE(LEFT($H286,1))</f>
        <v/>
      </c>
      <c r="J286">
        <f>IF($I286&gt;=20,"Critical",IF($I286&gt;=15,"High",IF($I286&gt;=10,"Medium",IF($I286&gt;=5,"Low",IF($I286&gt;0,"Very Low","")))))</f>
        <v/>
      </c>
      <c r="K286" s="5" t="n"/>
      <c r="O286">
        <f>VALUE(LEFT($M286,1))*VALUE(LEFT($N286,1))</f>
        <v/>
      </c>
      <c r="P286">
        <f>IF($O286&gt;=20,"Critical",IF($O286&gt;=15,"High",IF($O286&gt;=10,"Medium",IF($O286&gt;=5,"Low",IF($O286&gt;0,"Very Low","")))))</f>
        <v/>
      </c>
      <c r="S286" s="5" t="n"/>
      <c r="V286" s="5" t="n"/>
      <c r="W286" s="6" t="n"/>
      <c r="X286" s="6" t="n"/>
      <c r="Z286" s="5" t="n"/>
    </row>
    <row r="287">
      <c r="D287" s="5" t="n"/>
      <c r="E287" s="5" t="n"/>
      <c r="F287" s="5" t="n"/>
      <c r="I287">
        <f>VALUE(LEFT($G287,1))*VALUE(LEFT($H287,1))</f>
        <v/>
      </c>
      <c r="J287">
        <f>IF($I287&gt;=20,"Critical",IF($I287&gt;=15,"High",IF($I287&gt;=10,"Medium",IF($I287&gt;=5,"Low",IF($I287&gt;0,"Very Low","")))))</f>
        <v/>
      </c>
      <c r="K287" s="5" t="n"/>
      <c r="O287">
        <f>VALUE(LEFT($M287,1))*VALUE(LEFT($N287,1))</f>
        <v/>
      </c>
      <c r="P287">
        <f>IF($O287&gt;=20,"Critical",IF($O287&gt;=15,"High",IF($O287&gt;=10,"Medium",IF($O287&gt;=5,"Low",IF($O287&gt;0,"Very Low","")))))</f>
        <v/>
      </c>
      <c r="S287" s="5" t="n"/>
      <c r="V287" s="5" t="n"/>
      <c r="W287" s="6" t="n"/>
      <c r="X287" s="6" t="n"/>
      <c r="Z287" s="5" t="n"/>
    </row>
    <row r="288">
      <c r="D288" s="5" t="n"/>
      <c r="E288" s="5" t="n"/>
      <c r="F288" s="5" t="n"/>
      <c r="I288">
        <f>VALUE(LEFT($G288,1))*VALUE(LEFT($H288,1))</f>
        <v/>
      </c>
      <c r="J288">
        <f>IF($I288&gt;=20,"Critical",IF($I288&gt;=15,"High",IF($I288&gt;=10,"Medium",IF($I288&gt;=5,"Low",IF($I288&gt;0,"Very Low","")))))</f>
        <v/>
      </c>
      <c r="K288" s="5" t="n"/>
      <c r="O288">
        <f>VALUE(LEFT($M288,1))*VALUE(LEFT($N288,1))</f>
        <v/>
      </c>
      <c r="P288">
        <f>IF($O288&gt;=20,"Critical",IF($O288&gt;=15,"High",IF($O288&gt;=10,"Medium",IF($O288&gt;=5,"Low",IF($O288&gt;0,"Very Low","")))))</f>
        <v/>
      </c>
      <c r="S288" s="5" t="n"/>
      <c r="V288" s="5" t="n"/>
      <c r="W288" s="6" t="n"/>
      <c r="X288" s="6" t="n"/>
      <c r="Z288" s="5" t="n"/>
    </row>
    <row r="289">
      <c r="D289" s="5" t="n"/>
      <c r="E289" s="5" t="n"/>
      <c r="F289" s="5" t="n"/>
      <c r="I289">
        <f>VALUE(LEFT($G289,1))*VALUE(LEFT($H289,1))</f>
        <v/>
      </c>
      <c r="J289">
        <f>IF($I289&gt;=20,"Critical",IF($I289&gt;=15,"High",IF($I289&gt;=10,"Medium",IF($I289&gt;=5,"Low",IF($I289&gt;0,"Very Low","")))))</f>
        <v/>
      </c>
      <c r="K289" s="5" t="n"/>
      <c r="O289">
        <f>VALUE(LEFT($M289,1))*VALUE(LEFT($N289,1))</f>
        <v/>
      </c>
      <c r="P289">
        <f>IF($O289&gt;=20,"Critical",IF($O289&gt;=15,"High",IF($O289&gt;=10,"Medium",IF($O289&gt;=5,"Low",IF($O289&gt;0,"Very Low","")))))</f>
        <v/>
      </c>
      <c r="S289" s="5" t="n"/>
      <c r="V289" s="5" t="n"/>
      <c r="W289" s="6" t="n"/>
      <c r="X289" s="6" t="n"/>
      <c r="Z289" s="5" t="n"/>
    </row>
    <row r="290">
      <c r="D290" s="5" t="n"/>
      <c r="E290" s="5" t="n"/>
      <c r="F290" s="5" t="n"/>
      <c r="I290">
        <f>VALUE(LEFT($G290,1))*VALUE(LEFT($H290,1))</f>
        <v/>
      </c>
      <c r="J290">
        <f>IF($I290&gt;=20,"Critical",IF($I290&gt;=15,"High",IF($I290&gt;=10,"Medium",IF($I290&gt;=5,"Low",IF($I290&gt;0,"Very Low","")))))</f>
        <v/>
      </c>
      <c r="K290" s="5" t="n"/>
      <c r="O290">
        <f>VALUE(LEFT($M290,1))*VALUE(LEFT($N290,1))</f>
        <v/>
      </c>
      <c r="P290">
        <f>IF($O290&gt;=20,"Critical",IF($O290&gt;=15,"High",IF($O290&gt;=10,"Medium",IF($O290&gt;=5,"Low",IF($O290&gt;0,"Very Low","")))))</f>
        <v/>
      </c>
      <c r="S290" s="5" t="n"/>
      <c r="V290" s="5" t="n"/>
      <c r="W290" s="6" t="n"/>
      <c r="X290" s="6" t="n"/>
      <c r="Z290" s="5" t="n"/>
    </row>
    <row r="291">
      <c r="D291" s="5" t="n"/>
      <c r="E291" s="5" t="n"/>
      <c r="F291" s="5" t="n"/>
      <c r="I291">
        <f>VALUE(LEFT($G291,1))*VALUE(LEFT($H291,1))</f>
        <v/>
      </c>
      <c r="J291">
        <f>IF($I291&gt;=20,"Critical",IF($I291&gt;=15,"High",IF($I291&gt;=10,"Medium",IF($I291&gt;=5,"Low",IF($I291&gt;0,"Very Low","")))))</f>
        <v/>
      </c>
      <c r="K291" s="5" t="n"/>
      <c r="O291">
        <f>VALUE(LEFT($M291,1))*VALUE(LEFT($N291,1))</f>
        <v/>
      </c>
      <c r="P291">
        <f>IF($O291&gt;=20,"Critical",IF($O291&gt;=15,"High",IF($O291&gt;=10,"Medium",IF($O291&gt;=5,"Low",IF($O291&gt;0,"Very Low","")))))</f>
        <v/>
      </c>
      <c r="S291" s="5" t="n"/>
      <c r="V291" s="5" t="n"/>
      <c r="W291" s="6" t="n"/>
      <c r="X291" s="6" t="n"/>
      <c r="Z291" s="5" t="n"/>
    </row>
    <row r="292">
      <c r="D292" s="5" t="n"/>
      <c r="E292" s="5" t="n"/>
      <c r="F292" s="5" t="n"/>
      <c r="I292">
        <f>VALUE(LEFT($G292,1))*VALUE(LEFT($H292,1))</f>
        <v/>
      </c>
      <c r="J292">
        <f>IF($I292&gt;=20,"Critical",IF($I292&gt;=15,"High",IF($I292&gt;=10,"Medium",IF($I292&gt;=5,"Low",IF($I292&gt;0,"Very Low","")))))</f>
        <v/>
      </c>
      <c r="K292" s="5" t="n"/>
      <c r="O292">
        <f>VALUE(LEFT($M292,1))*VALUE(LEFT($N292,1))</f>
        <v/>
      </c>
      <c r="P292">
        <f>IF($O292&gt;=20,"Critical",IF($O292&gt;=15,"High",IF($O292&gt;=10,"Medium",IF($O292&gt;=5,"Low",IF($O292&gt;0,"Very Low","")))))</f>
        <v/>
      </c>
      <c r="S292" s="5" t="n"/>
      <c r="V292" s="5" t="n"/>
      <c r="W292" s="6" t="n"/>
      <c r="X292" s="6" t="n"/>
      <c r="Z292" s="5" t="n"/>
    </row>
    <row r="293">
      <c r="D293" s="5" t="n"/>
      <c r="E293" s="5" t="n"/>
      <c r="F293" s="5" t="n"/>
      <c r="I293">
        <f>VALUE(LEFT($G293,1))*VALUE(LEFT($H293,1))</f>
        <v/>
      </c>
      <c r="J293">
        <f>IF($I293&gt;=20,"Critical",IF($I293&gt;=15,"High",IF($I293&gt;=10,"Medium",IF($I293&gt;=5,"Low",IF($I293&gt;0,"Very Low","")))))</f>
        <v/>
      </c>
      <c r="K293" s="5" t="n"/>
      <c r="O293">
        <f>VALUE(LEFT($M293,1))*VALUE(LEFT($N293,1))</f>
        <v/>
      </c>
      <c r="P293">
        <f>IF($O293&gt;=20,"Critical",IF($O293&gt;=15,"High",IF($O293&gt;=10,"Medium",IF($O293&gt;=5,"Low",IF($O293&gt;0,"Very Low","")))))</f>
        <v/>
      </c>
      <c r="S293" s="5" t="n"/>
      <c r="V293" s="5" t="n"/>
      <c r="W293" s="6" t="n"/>
      <c r="X293" s="6" t="n"/>
      <c r="Z293" s="5" t="n"/>
    </row>
    <row r="294">
      <c r="D294" s="5" t="n"/>
      <c r="E294" s="5" t="n"/>
      <c r="F294" s="5" t="n"/>
      <c r="I294">
        <f>VALUE(LEFT($G294,1))*VALUE(LEFT($H294,1))</f>
        <v/>
      </c>
      <c r="J294">
        <f>IF($I294&gt;=20,"Critical",IF($I294&gt;=15,"High",IF($I294&gt;=10,"Medium",IF($I294&gt;=5,"Low",IF($I294&gt;0,"Very Low","")))))</f>
        <v/>
      </c>
      <c r="K294" s="5" t="n"/>
      <c r="O294">
        <f>VALUE(LEFT($M294,1))*VALUE(LEFT($N294,1))</f>
        <v/>
      </c>
      <c r="P294">
        <f>IF($O294&gt;=20,"Critical",IF($O294&gt;=15,"High",IF($O294&gt;=10,"Medium",IF($O294&gt;=5,"Low",IF($O294&gt;0,"Very Low","")))))</f>
        <v/>
      </c>
      <c r="S294" s="5" t="n"/>
      <c r="V294" s="5" t="n"/>
      <c r="W294" s="6" t="n"/>
      <c r="X294" s="6" t="n"/>
      <c r="Z294" s="5" t="n"/>
    </row>
    <row r="295">
      <c r="D295" s="5" t="n"/>
      <c r="E295" s="5" t="n"/>
      <c r="F295" s="5" t="n"/>
      <c r="I295">
        <f>VALUE(LEFT($G295,1))*VALUE(LEFT($H295,1))</f>
        <v/>
      </c>
      <c r="J295">
        <f>IF($I295&gt;=20,"Critical",IF($I295&gt;=15,"High",IF($I295&gt;=10,"Medium",IF($I295&gt;=5,"Low",IF($I295&gt;0,"Very Low","")))))</f>
        <v/>
      </c>
      <c r="K295" s="5" t="n"/>
      <c r="O295">
        <f>VALUE(LEFT($M295,1))*VALUE(LEFT($N295,1))</f>
        <v/>
      </c>
      <c r="P295">
        <f>IF($O295&gt;=20,"Critical",IF($O295&gt;=15,"High",IF($O295&gt;=10,"Medium",IF($O295&gt;=5,"Low",IF($O295&gt;0,"Very Low","")))))</f>
        <v/>
      </c>
      <c r="S295" s="5" t="n"/>
      <c r="V295" s="5" t="n"/>
      <c r="W295" s="6" t="n"/>
      <c r="X295" s="6" t="n"/>
      <c r="Z295" s="5" t="n"/>
    </row>
    <row r="296">
      <c r="D296" s="5" t="n"/>
      <c r="E296" s="5" t="n"/>
      <c r="F296" s="5" t="n"/>
      <c r="I296">
        <f>VALUE(LEFT($G296,1))*VALUE(LEFT($H296,1))</f>
        <v/>
      </c>
      <c r="J296">
        <f>IF($I296&gt;=20,"Critical",IF($I296&gt;=15,"High",IF($I296&gt;=10,"Medium",IF($I296&gt;=5,"Low",IF($I296&gt;0,"Very Low","")))))</f>
        <v/>
      </c>
      <c r="K296" s="5" t="n"/>
      <c r="O296">
        <f>VALUE(LEFT($M296,1))*VALUE(LEFT($N296,1))</f>
        <v/>
      </c>
      <c r="P296">
        <f>IF($O296&gt;=20,"Critical",IF($O296&gt;=15,"High",IF($O296&gt;=10,"Medium",IF($O296&gt;=5,"Low",IF($O296&gt;0,"Very Low","")))))</f>
        <v/>
      </c>
      <c r="S296" s="5" t="n"/>
      <c r="V296" s="5" t="n"/>
      <c r="W296" s="6" t="n"/>
      <c r="X296" s="6" t="n"/>
      <c r="Z296" s="5" t="n"/>
    </row>
    <row r="297">
      <c r="D297" s="5" t="n"/>
      <c r="E297" s="5" t="n"/>
      <c r="F297" s="5" t="n"/>
      <c r="I297">
        <f>VALUE(LEFT($G297,1))*VALUE(LEFT($H297,1))</f>
        <v/>
      </c>
      <c r="J297">
        <f>IF($I297&gt;=20,"Critical",IF($I297&gt;=15,"High",IF($I297&gt;=10,"Medium",IF($I297&gt;=5,"Low",IF($I297&gt;0,"Very Low","")))))</f>
        <v/>
      </c>
      <c r="K297" s="5" t="n"/>
      <c r="O297">
        <f>VALUE(LEFT($M297,1))*VALUE(LEFT($N297,1))</f>
        <v/>
      </c>
      <c r="P297">
        <f>IF($O297&gt;=20,"Critical",IF($O297&gt;=15,"High",IF($O297&gt;=10,"Medium",IF($O297&gt;=5,"Low",IF($O297&gt;0,"Very Low","")))))</f>
        <v/>
      </c>
      <c r="S297" s="5" t="n"/>
      <c r="V297" s="5" t="n"/>
      <c r="W297" s="6" t="n"/>
      <c r="X297" s="6" t="n"/>
      <c r="Z297" s="5" t="n"/>
    </row>
    <row r="298">
      <c r="D298" s="5" t="n"/>
      <c r="E298" s="5" t="n"/>
      <c r="F298" s="5" t="n"/>
      <c r="I298">
        <f>VALUE(LEFT($G298,1))*VALUE(LEFT($H298,1))</f>
        <v/>
      </c>
      <c r="J298">
        <f>IF($I298&gt;=20,"Critical",IF($I298&gt;=15,"High",IF($I298&gt;=10,"Medium",IF($I298&gt;=5,"Low",IF($I298&gt;0,"Very Low","")))))</f>
        <v/>
      </c>
      <c r="K298" s="5" t="n"/>
      <c r="O298">
        <f>VALUE(LEFT($M298,1))*VALUE(LEFT($N298,1))</f>
        <v/>
      </c>
      <c r="P298">
        <f>IF($O298&gt;=20,"Critical",IF($O298&gt;=15,"High",IF($O298&gt;=10,"Medium",IF($O298&gt;=5,"Low",IF($O298&gt;0,"Very Low","")))))</f>
        <v/>
      </c>
      <c r="S298" s="5" t="n"/>
      <c r="V298" s="5" t="n"/>
      <c r="W298" s="6" t="n"/>
      <c r="X298" s="6" t="n"/>
      <c r="Z298" s="5" t="n"/>
    </row>
    <row r="299">
      <c r="D299" s="5" t="n"/>
      <c r="E299" s="5" t="n"/>
      <c r="F299" s="5" t="n"/>
      <c r="I299">
        <f>VALUE(LEFT($G299,1))*VALUE(LEFT($H299,1))</f>
        <v/>
      </c>
      <c r="J299">
        <f>IF($I299&gt;=20,"Critical",IF($I299&gt;=15,"High",IF($I299&gt;=10,"Medium",IF($I299&gt;=5,"Low",IF($I299&gt;0,"Very Low","")))))</f>
        <v/>
      </c>
      <c r="K299" s="5" t="n"/>
      <c r="O299">
        <f>VALUE(LEFT($M299,1))*VALUE(LEFT($N299,1))</f>
        <v/>
      </c>
      <c r="P299">
        <f>IF($O299&gt;=20,"Critical",IF($O299&gt;=15,"High",IF($O299&gt;=10,"Medium",IF($O299&gt;=5,"Low",IF($O299&gt;0,"Very Low","")))))</f>
        <v/>
      </c>
      <c r="S299" s="5" t="n"/>
      <c r="V299" s="5" t="n"/>
      <c r="W299" s="6" t="n"/>
      <c r="X299" s="6" t="n"/>
      <c r="Z299" s="5" t="n"/>
    </row>
    <row r="300">
      <c r="D300" s="5" t="n"/>
      <c r="E300" s="5" t="n"/>
      <c r="F300" s="5" t="n"/>
      <c r="I300">
        <f>VALUE(LEFT($G300,1))*VALUE(LEFT($H300,1))</f>
        <v/>
      </c>
      <c r="J300">
        <f>IF($I300&gt;=20,"Critical",IF($I300&gt;=15,"High",IF($I300&gt;=10,"Medium",IF($I300&gt;=5,"Low",IF($I300&gt;0,"Very Low","")))))</f>
        <v/>
      </c>
      <c r="K300" s="5" t="n"/>
      <c r="O300">
        <f>VALUE(LEFT($M300,1))*VALUE(LEFT($N300,1))</f>
        <v/>
      </c>
      <c r="P300">
        <f>IF($O300&gt;=20,"Critical",IF($O300&gt;=15,"High",IF($O300&gt;=10,"Medium",IF($O300&gt;=5,"Low",IF($O300&gt;0,"Very Low","")))))</f>
        <v/>
      </c>
      <c r="S300" s="5" t="n"/>
      <c r="V300" s="5" t="n"/>
      <c r="W300" s="6" t="n"/>
      <c r="X300" s="6" t="n"/>
      <c r="Z300" s="5" t="n"/>
    </row>
    <row r="301">
      <c r="D301" s="5" t="n"/>
      <c r="E301" s="5" t="n"/>
      <c r="F301" s="5" t="n"/>
      <c r="I301">
        <f>VALUE(LEFT($G301,1))*VALUE(LEFT($H301,1))</f>
        <v/>
      </c>
      <c r="J301">
        <f>IF($I301&gt;=20,"Critical",IF($I301&gt;=15,"High",IF($I301&gt;=10,"Medium",IF($I301&gt;=5,"Low",IF($I301&gt;0,"Very Low","")))))</f>
        <v/>
      </c>
      <c r="K301" s="5" t="n"/>
      <c r="O301">
        <f>VALUE(LEFT($M301,1))*VALUE(LEFT($N301,1))</f>
        <v/>
      </c>
      <c r="P301">
        <f>IF($O301&gt;=20,"Critical",IF($O301&gt;=15,"High",IF($O301&gt;=10,"Medium",IF($O301&gt;=5,"Low",IF($O301&gt;0,"Very Low","")))))</f>
        <v/>
      </c>
      <c r="S301" s="5" t="n"/>
      <c r="V301" s="5" t="n"/>
      <c r="W301" s="6" t="n"/>
      <c r="X301" s="6" t="n"/>
      <c r="Z301" s="5" t="n"/>
    </row>
    <row r="302">
      <c r="D302" s="5" t="n"/>
      <c r="E302" s="5" t="n"/>
      <c r="F302" s="5" t="n"/>
      <c r="I302">
        <f>VALUE(LEFT($G302,1))*VALUE(LEFT($H302,1))</f>
        <v/>
      </c>
      <c r="J302">
        <f>IF($I302&gt;=20,"Critical",IF($I302&gt;=15,"High",IF($I302&gt;=10,"Medium",IF($I302&gt;=5,"Low",IF($I302&gt;0,"Very Low","")))))</f>
        <v/>
      </c>
      <c r="K302" s="5" t="n"/>
      <c r="O302">
        <f>VALUE(LEFT($M302,1))*VALUE(LEFT($N302,1))</f>
        <v/>
      </c>
      <c r="P302">
        <f>IF($O302&gt;=20,"Critical",IF($O302&gt;=15,"High",IF($O302&gt;=10,"Medium",IF($O302&gt;=5,"Low",IF($O302&gt;0,"Very Low","")))))</f>
        <v/>
      </c>
      <c r="S302" s="5" t="n"/>
      <c r="V302" s="5" t="n"/>
      <c r="W302" s="6" t="n"/>
      <c r="X302" s="6" t="n"/>
      <c r="Z302" s="5" t="n"/>
    </row>
    <row r="303">
      <c r="D303" s="5" t="n"/>
      <c r="E303" s="5" t="n"/>
      <c r="F303" s="5" t="n"/>
      <c r="I303">
        <f>VALUE(LEFT($G303,1))*VALUE(LEFT($H303,1))</f>
        <v/>
      </c>
      <c r="J303">
        <f>IF($I303&gt;=20,"Critical",IF($I303&gt;=15,"High",IF($I303&gt;=10,"Medium",IF($I303&gt;=5,"Low",IF($I303&gt;0,"Very Low","")))))</f>
        <v/>
      </c>
      <c r="K303" s="5" t="n"/>
      <c r="O303">
        <f>VALUE(LEFT($M303,1))*VALUE(LEFT($N303,1))</f>
        <v/>
      </c>
      <c r="P303">
        <f>IF($O303&gt;=20,"Critical",IF($O303&gt;=15,"High",IF($O303&gt;=10,"Medium",IF($O303&gt;=5,"Low",IF($O303&gt;0,"Very Low","")))))</f>
        <v/>
      </c>
      <c r="S303" s="5" t="n"/>
      <c r="V303" s="5" t="n"/>
      <c r="W303" s="6" t="n"/>
      <c r="X303" s="6" t="n"/>
      <c r="Z303" s="5" t="n"/>
    </row>
    <row r="304">
      <c r="D304" s="5" t="n"/>
      <c r="E304" s="5" t="n"/>
      <c r="F304" s="5" t="n"/>
      <c r="I304">
        <f>VALUE(LEFT($G304,1))*VALUE(LEFT($H304,1))</f>
        <v/>
      </c>
      <c r="J304">
        <f>IF($I304&gt;=20,"Critical",IF($I304&gt;=15,"High",IF($I304&gt;=10,"Medium",IF($I304&gt;=5,"Low",IF($I304&gt;0,"Very Low","")))))</f>
        <v/>
      </c>
      <c r="K304" s="5" t="n"/>
      <c r="O304">
        <f>VALUE(LEFT($M304,1))*VALUE(LEFT($N304,1))</f>
        <v/>
      </c>
      <c r="P304">
        <f>IF($O304&gt;=20,"Critical",IF($O304&gt;=15,"High",IF($O304&gt;=10,"Medium",IF($O304&gt;=5,"Low",IF($O304&gt;0,"Very Low","")))))</f>
        <v/>
      </c>
      <c r="S304" s="5" t="n"/>
      <c r="V304" s="5" t="n"/>
      <c r="W304" s="6" t="n"/>
      <c r="X304" s="6" t="n"/>
      <c r="Z304" s="5" t="n"/>
    </row>
    <row r="305">
      <c r="D305" s="5" t="n"/>
      <c r="E305" s="5" t="n"/>
      <c r="F305" s="5" t="n"/>
      <c r="I305">
        <f>VALUE(LEFT($G305,1))*VALUE(LEFT($H305,1))</f>
        <v/>
      </c>
      <c r="J305">
        <f>IF($I305&gt;=20,"Critical",IF($I305&gt;=15,"High",IF($I305&gt;=10,"Medium",IF($I305&gt;=5,"Low",IF($I305&gt;0,"Very Low","")))))</f>
        <v/>
      </c>
      <c r="K305" s="5" t="n"/>
      <c r="O305">
        <f>VALUE(LEFT($M305,1))*VALUE(LEFT($N305,1))</f>
        <v/>
      </c>
      <c r="P305">
        <f>IF($O305&gt;=20,"Critical",IF($O305&gt;=15,"High",IF($O305&gt;=10,"Medium",IF($O305&gt;=5,"Low",IF($O305&gt;0,"Very Low","")))))</f>
        <v/>
      </c>
      <c r="S305" s="5" t="n"/>
      <c r="V305" s="5" t="n"/>
      <c r="W305" s="6" t="n"/>
      <c r="X305" s="6" t="n"/>
      <c r="Z305" s="5" t="n"/>
    </row>
    <row r="306">
      <c r="D306" s="5" t="n"/>
      <c r="E306" s="5" t="n"/>
      <c r="F306" s="5" t="n"/>
      <c r="I306">
        <f>VALUE(LEFT($G306,1))*VALUE(LEFT($H306,1))</f>
        <v/>
      </c>
      <c r="J306">
        <f>IF($I306&gt;=20,"Critical",IF($I306&gt;=15,"High",IF($I306&gt;=10,"Medium",IF($I306&gt;=5,"Low",IF($I306&gt;0,"Very Low","")))))</f>
        <v/>
      </c>
      <c r="K306" s="5" t="n"/>
      <c r="O306">
        <f>VALUE(LEFT($M306,1))*VALUE(LEFT($N306,1))</f>
        <v/>
      </c>
      <c r="P306">
        <f>IF($O306&gt;=20,"Critical",IF($O306&gt;=15,"High",IF($O306&gt;=10,"Medium",IF($O306&gt;=5,"Low",IF($O306&gt;0,"Very Low","")))))</f>
        <v/>
      </c>
      <c r="S306" s="5" t="n"/>
      <c r="V306" s="5" t="n"/>
      <c r="W306" s="6" t="n"/>
      <c r="X306" s="6" t="n"/>
      <c r="Z306" s="5" t="n"/>
    </row>
    <row r="307">
      <c r="D307" s="5" t="n"/>
      <c r="E307" s="5" t="n"/>
      <c r="F307" s="5" t="n"/>
      <c r="I307">
        <f>VALUE(LEFT($G307,1))*VALUE(LEFT($H307,1))</f>
        <v/>
      </c>
      <c r="J307">
        <f>IF($I307&gt;=20,"Critical",IF($I307&gt;=15,"High",IF($I307&gt;=10,"Medium",IF($I307&gt;=5,"Low",IF($I307&gt;0,"Very Low","")))))</f>
        <v/>
      </c>
      <c r="K307" s="5" t="n"/>
      <c r="O307">
        <f>VALUE(LEFT($M307,1))*VALUE(LEFT($N307,1))</f>
        <v/>
      </c>
      <c r="P307">
        <f>IF($O307&gt;=20,"Critical",IF($O307&gt;=15,"High",IF($O307&gt;=10,"Medium",IF($O307&gt;=5,"Low",IF($O307&gt;0,"Very Low","")))))</f>
        <v/>
      </c>
      <c r="S307" s="5" t="n"/>
      <c r="V307" s="5" t="n"/>
      <c r="W307" s="6" t="n"/>
      <c r="X307" s="6" t="n"/>
      <c r="Z307" s="5" t="n"/>
    </row>
    <row r="308">
      <c r="D308" s="5" t="n"/>
      <c r="E308" s="5" t="n"/>
      <c r="F308" s="5" t="n"/>
      <c r="I308">
        <f>VALUE(LEFT($G308,1))*VALUE(LEFT($H308,1))</f>
        <v/>
      </c>
      <c r="J308">
        <f>IF($I308&gt;=20,"Critical",IF($I308&gt;=15,"High",IF($I308&gt;=10,"Medium",IF($I308&gt;=5,"Low",IF($I308&gt;0,"Very Low","")))))</f>
        <v/>
      </c>
      <c r="K308" s="5" t="n"/>
      <c r="O308">
        <f>VALUE(LEFT($M308,1))*VALUE(LEFT($N308,1))</f>
        <v/>
      </c>
      <c r="P308">
        <f>IF($O308&gt;=20,"Critical",IF($O308&gt;=15,"High",IF($O308&gt;=10,"Medium",IF($O308&gt;=5,"Low",IF($O308&gt;0,"Very Low","")))))</f>
        <v/>
      </c>
      <c r="S308" s="5" t="n"/>
      <c r="V308" s="5" t="n"/>
      <c r="W308" s="6" t="n"/>
      <c r="X308" s="6" t="n"/>
      <c r="Z308" s="5" t="n"/>
    </row>
    <row r="309">
      <c r="D309" s="5" t="n"/>
      <c r="E309" s="5" t="n"/>
      <c r="F309" s="5" t="n"/>
      <c r="I309">
        <f>VALUE(LEFT($G309,1))*VALUE(LEFT($H309,1))</f>
        <v/>
      </c>
      <c r="J309">
        <f>IF($I309&gt;=20,"Critical",IF($I309&gt;=15,"High",IF($I309&gt;=10,"Medium",IF($I309&gt;=5,"Low",IF($I309&gt;0,"Very Low","")))))</f>
        <v/>
      </c>
      <c r="K309" s="5" t="n"/>
      <c r="O309">
        <f>VALUE(LEFT($M309,1))*VALUE(LEFT($N309,1))</f>
        <v/>
      </c>
      <c r="P309">
        <f>IF($O309&gt;=20,"Critical",IF($O309&gt;=15,"High",IF($O309&gt;=10,"Medium",IF($O309&gt;=5,"Low",IF($O309&gt;0,"Very Low","")))))</f>
        <v/>
      </c>
      <c r="S309" s="5" t="n"/>
      <c r="V309" s="5" t="n"/>
      <c r="W309" s="6" t="n"/>
      <c r="X309" s="6" t="n"/>
      <c r="Z309" s="5" t="n"/>
    </row>
    <row r="310">
      <c r="D310" s="5" t="n"/>
      <c r="E310" s="5" t="n"/>
      <c r="F310" s="5" t="n"/>
      <c r="I310">
        <f>VALUE(LEFT($G310,1))*VALUE(LEFT($H310,1))</f>
        <v/>
      </c>
      <c r="J310">
        <f>IF($I310&gt;=20,"Critical",IF($I310&gt;=15,"High",IF($I310&gt;=10,"Medium",IF($I310&gt;=5,"Low",IF($I310&gt;0,"Very Low","")))))</f>
        <v/>
      </c>
      <c r="K310" s="5" t="n"/>
      <c r="O310">
        <f>VALUE(LEFT($M310,1))*VALUE(LEFT($N310,1))</f>
        <v/>
      </c>
      <c r="P310">
        <f>IF($O310&gt;=20,"Critical",IF($O310&gt;=15,"High",IF($O310&gt;=10,"Medium",IF($O310&gt;=5,"Low",IF($O310&gt;0,"Very Low","")))))</f>
        <v/>
      </c>
      <c r="S310" s="5" t="n"/>
      <c r="V310" s="5" t="n"/>
      <c r="W310" s="6" t="n"/>
      <c r="X310" s="6" t="n"/>
      <c r="Z310" s="5" t="n"/>
    </row>
    <row r="311">
      <c r="D311" s="5" t="n"/>
      <c r="E311" s="5" t="n"/>
      <c r="F311" s="5" t="n"/>
      <c r="I311">
        <f>VALUE(LEFT($G311,1))*VALUE(LEFT($H311,1))</f>
        <v/>
      </c>
      <c r="J311">
        <f>IF($I311&gt;=20,"Critical",IF($I311&gt;=15,"High",IF($I311&gt;=10,"Medium",IF($I311&gt;=5,"Low",IF($I311&gt;0,"Very Low","")))))</f>
        <v/>
      </c>
      <c r="K311" s="5" t="n"/>
      <c r="O311">
        <f>VALUE(LEFT($M311,1))*VALUE(LEFT($N311,1))</f>
        <v/>
      </c>
      <c r="P311">
        <f>IF($O311&gt;=20,"Critical",IF($O311&gt;=15,"High",IF($O311&gt;=10,"Medium",IF($O311&gt;=5,"Low",IF($O311&gt;0,"Very Low","")))))</f>
        <v/>
      </c>
      <c r="S311" s="5" t="n"/>
      <c r="V311" s="5" t="n"/>
      <c r="W311" s="6" t="n"/>
      <c r="X311" s="6" t="n"/>
      <c r="Z311" s="5" t="n"/>
    </row>
    <row r="312">
      <c r="D312" s="5" t="n"/>
      <c r="E312" s="5" t="n"/>
      <c r="F312" s="5" t="n"/>
      <c r="I312">
        <f>VALUE(LEFT($G312,1))*VALUE(LEFT($H312,1))</f>
        <v/>
      </c>
      <c r="J312">
        <f>IF($I312&gt;=20,"Critical",IF($I312&gt;=15,"High",IF($I312&gt;=10,"Medium",IF($I312&gt;=5,"Low",IF($I312&gt;0,"Very Low","")))))</f>
        <v/>
      </c>
      <c r="K312" s="5" t="n"/>
      <c r="O312">
        <f>VALUE(LEFT($M312,1))*VALUE(LEFT($N312,1))</f>
        <v/>
      </c>
      <c r="P312">
        <f>IF($O312&gt;=20,"Critical",IF($O312&gt;=15,"High",IF($O312&gt;=10,"Medium",IF($O312&gt;=5,"Low",IF($O312&gt;0,"Very Low","")))))</f>
        <v/>
      </c>
      <c r="S312" s="5" t="n"/>
      <c r="V312" s="5" t="n"/>
      <c r="W312" s="6" t="n"/>
      <c r="X312" s="6" t="n"/>
      <c r="Z312" s="5" t="n"/>
    </row>
    <row r="313">
      <c r="D313" s="5" t="n"/>
      <c r="E313" s="5" t="n"/>
      <c r="F313" s="5" t="n"/>
      <c r="I313">
        <f>VALUE(LEFT($G313,1))*VALUE(LEFT($H313,1))</f>
        <v/>
      </c>
      <c r="J313">
        <f>IF($I313&gt;=20,"Critical",IF($I313&gt;=15,"High",IF($I313&gt;=10,"Medium",IF($I313&gt;=5,"Low",IF($I313&gt;0,"Very Low","")))))</f>
        <v/>
      </c>
      <c r="K313" s="5" t="n"/>
      <c r="O313">
        <f>VALUE(LEFT($M313,1))*VALUE(LEFT($N313,1))</f>
        <v/>
      </c>
      <c r="P313">
        <f>IF($O313&gt;=20,"Critical",IF($O313&gt;=15,"High",IF($O313&gt;=10,"Medium",IF($O313&gt;=5,"Low",IF($O313&gt;0,"Very Low","")))))</f>
        <v/>
      </c>
      <c r="S313" s="5" t="n"/>
      <c r="V313" s="5" t="n"/>
      <c r="W313" s="6" t="n"/>
      <c r="X313" s="6" t="n"/>
      <c r="Z313" s="5" t="n"/>
    </row>
    <row r="314">
      <c r="D314" s="5" t="n"/>
      <c r="E314" s="5" t="n"/>
      <c r="F314" s="5" t="n"/>
      <c r="I314">
        <f>VALUE(LEFT($G314,1))*VALUE(LEFT($H314,1))</f>
        <v/>
      </c>
      <c r="J314">
        <f>IF($I314&gt;=20,"Critical",IF($I314&gt;=15,"High",IF($I314&gt;=10,"Medium",IF($I314&gt;=5,"Low",IF($I314&gt;0,"Very Low","")))))</f>
        <v/>
      </c>
      <c r="K314" s="5" t="n"/>
      <c r="O314">
        <f>VALUE(LEFT($M314,1))*VALUE(LEFT($N314,1))</f>
        <v/>
      </c>
      <c r="P314">
        <f>IF($O314&gt;=20,"Critical",IF($O314&gt;=15,"High",IF($O314&gt;=10,"Medium",IF($O314&gt;=5,"Low",IF($O314&gt;0,"Very Low","")))))</f>
        <v/>
      </c>
      <c r="S314" s="5" t="n"/>
      <c r="V314" s="5" t="n"/>
      <c r="W314" s="6" t="n"/>
      <c r="X314" s="6" t="n"/>
      <c r="Z314" s="5" t="n"/>
    </row>
    <row r="315">
      <c r="D315" s="5" t="n"/>
      <c r="E315" s="5" t="n"/>
      <c r="F315" s="5" t="n"/>
      <c r="I315">
        <f>VALUE(LEFT($G315,1))*VALUE(LEFT($H315,1))</f>
        <v/>
      </c>
      <c r="J315">
        <f>IF($I315&gt;=20,"Critical",IF($I315&gt;=15,"High",IF($I315&gt;=10,"Medium",IF($I315&gt;=5,"Low",IF($I315&gt;0,"Very Low","")))))</f>
        <v/>
      </c>
      <c r="K315" s="5" t="n"/>
      <c r="O315">
        <f>VALUE(LEFT($M315,1))*VALUE(LEFT($N315,1))</f>
        <v/>
      </c>
      <c r="P315">
        <f>IF($O315&gt;=20,"Critical",IF($O315&gt;=15,"High",IF($O315&gt;=10,"Medium",IF($O315&gt;=5,"Low",IF($O315&gt;0,"Very Low","")))))</f>
        <v/>
      </c>
      <c r="S315" s="5" t="n"/>
      <c r="V315" s="5" t="n"/>
      <c r="W315" s="6" t="n"/>
      <c r="X315" s="6" t="n"/>
      <c r="Z315" s="5" t="n"/>
    </row>
    <row r="316">
      <c r="D316" s="5" t="n"/>
      <c r="E316" s="5" t="n"/>
      <c r="F316" s="5" t="n"/>
      <c r="I316">
        <f>VALUE(LEFT($G316,1))*VALUE(LEFT($H316,1))</f>
        <v/>
      </c>
      <c r="J316">
        <f>IF($I316&gt;=20,"Critical",IF($I316&gt;=15,"High",IF($I316&gt;=10,"Medium",IF($I316&gt;=5,"Low",IF($I316&gt;0,"Very Low","")))))</f>
        <v/>
      </c>
      <c r="K316" s="5" t="n"/>
      <c r="O316">
        <f>VALUE(LEFT($M316,1))*VALUE(LEFT($N316,1))</f>
        <v/>
      </c>
      <c r="P316">
        <f>IF($O316&gt;=20,"Critical",IF($O316&gt;=15,"High",IF($O316&gt;=10,"Medium",IF($O316&gt;=5,"Low",IF($O316&gt;0,"Very Low","")))))</f>
        <v/>
      </c>
      <c r="S316" s="5" t="n"/>
      <c r="V316" s="5" t="n"/>
      <c r="W316" s="6" t="n"/>
      <c r="X316" s="6" t="n"/>
      <c r="Z316" s="5" t="n"/>
    </row>
    <row r="317">
      <c r="D317" s="5" t="n"/>
      <c r="E317" s="5" t="n"/>
      <c r="F317" s="5" t="n"/>
      <c r="I317">
        <f>VALUE(LEFT($G317,1))*VALUE(LEFT($H317,1))</f>
        <v/>
      </c>
      <c r="J317">
        <f>IF($I317&gt;=20,"Critical",IF($I317&gt;=15,"High",IF($I317&gt;=10,"Medium",IF($I317&gt;=5,"Low",IF($I317&gt;0,"Very Low","")))))</f>
        <v/>
      </c>
      <c r="K317" s="5" t="n"/>
      <c r="O317">
        <f>VALUE(LEFT($M317,1))*VALUE(LEFT($N317,1))</f>
        <v/>
      </c>
      <c r="P317">
        <f>IF($O317&gt;=20,"Critical",IF($O317&gt;=15,"High",IF($O317&gt;=10,"Medium",IF($O317&gt;=5,"Low",IF($O317&gt;0,"Very Low","")))))</f>
        <v/>
      </c>
      <c r="S317" s="5" t="n"/>
      <c r="V317" s="5" t="n"/>
      <c r="W317" s="6" t="n"/>
      <c r="X317" s="6" t="n"/>
      <c r="Z317" s="5" t="n"/>
    </row>
    <row r="318">
      <c r="D318" s="5" t="n"/>
      <c r="E318" s="5" t="n"/>
      <c r="F318" s="5" t="n"/>
      <c r="I318">
        <f>VALUE(LEFT($G318,1))*VALUE(LEFT($H318,1))</f>
        <v/>
      </c>
      <c r="J318">
        <f>IF($I318&gt;=20,"Critical",IF($I318&gt;=15,"High",IF($I318&gt;=10,"Medium",IF($I318&gt;=5,"Low",IF($I318&gt;0,"Very Low","")))))</f>
        <v/>
      </c>
      <c r="K318" s="5" t="n"/>
      <c r="O318">
        <f>VALUE(LEFT($M318,1))*VALUE(LEFT($N318,1))</f>
        <v/>
      </c>
      <c r="P318">
        <f>IF($O318&gt;=20,"Critical",IF($O318&gt;=15,"High",IF($O318&gt;=10,"Medium",IF($O318&gt;=5,"Low",IF($O318&gt;0,"Very Low","")))))</f>
        <v/>
      </c>
      <c r="S318" s="5" t="n"/>
      <c r="V318" s="5" t="n"/>
      <c r="W318" s="6" t="n"/>
      <c r="X318" s="6" t="n"/>
      <c r="Z318" s="5" t="n"/>
    </row>
    <row r="319">
      <c r="D319" s="5" t="n"/>
      <c r="E319" s="5" t="n"/>
      <c r="F319" s="5" t="n"/>
      <c r="I319">
        <f>VALUE(LEFT($G319,1))*VALUE(LEFT($H319,1))</f>
        <v/>
      </c>
      <c r="J319">
        <f>IF($I319&gt;=20,"Critical",IF($I319&gt;=15,"High",IF($I319&gt;=10,"Medium",IF($I319&gt;=5,"Low",IF($I319&gt;0,"Very Low","")))))</f>
        <v/>
      </c>
      <c r="K319" s="5" t="n"/>
      <c r="O319">
        <f>VALUE(LEFT($M319,1))*VALUE(LEFT($N319,1))</f>
        <v/>
      </c>
      <c r="P319">
        <f>IF($O319&gt;=20,"Critical",IF($O319&gt;=15,"High",IF($O319&gt;=10,"Medium",IF($O319&gt;=5,"Low",IF($O319&gt;0,"Very Low","")))))</f>
        <v/>
      </c>
      <c r="S319" s="5" t="n"/>
      <c r="V319" s="5" t="n"/>
      <c r="W319" s="6" t="n"/>
      <c r="X319" s="6" t="n"/>
      <c r="Z319" s="5" t="n"/>
    </row>
    <row r="320">
      <c r="D320" s="5" t="n"/>
      <c r="E320" s="5" t="n"/>
      <c r="F320" s="5" t="n"/>
      <c r="I320">
        <f>VALUE(LEFT($G320,1))*VALUE(LEFT($H320,1))</f>
        <v/>
      </c>
      <c r="J320">
        <f>IF($I320&gt;=20,"Critical",IF($I320&gt;=15,"High",IF($I320&gt;=10,"Medium",IF($I320&gt;=5,"Low",IF($I320&gt;0,"Very Low","")))))</f>
        <v/>
      </c>
      <c r="K320" s="5" t="n"/>
      <c r="O320">
        <f>VALUE(LEFT($M320,1))*VALUE(LEFT($N320,1))</f>
        <v/>
      </c>
      <c r="P320">
        <f>IF($O320&gt;=20,"Critical",IF($O320&gt;=15,"High",IF($O320&gt;=10,"Medium",IF($O320&gt;=5,"Low",IF($O320&gt;0,"Very Low","")))))</f>
        <v/>
      </c>
      <c r="S320" s="5" t="n"/>
      <c r="V320" s="5" t="n"/>
      <c r="W320" s="6" t="n"/>
      <c r="X320" s="6" t="n"/>
      <c r="Z320" s="5" t="n"/>
    </row>
    <row r="321">
      <c r="D321" s="5" t="n"/>
      <c r="E321" s="5" t="n"/>
      <c r="F321" s="5" t="n"/>
      <c r="I321">
        <f>VALUE(LEFT($G321,1))*VALUE(LEFT($H321,1))</f>
        <v/>
      </c>
      <c r="J321">
        <f>IF($I321&gt;=20,"Critical",IF($I321&gt;=15,"High",IF($I321&gt;=10,"Medium",IF($I321&gt;=5,"Low",IF($I321&gt;0,"Very Low","")))))</f>
        <v/>
      </c>
      <c r="K321" s="5" t="n"/>
      <c r="O321">
        <f>VALUE(LEFT($M321,1))*VALUE(LEFT($N321,1))</f>
        <v/>
      </c>
      <c r="P321">
        <f>IF($O321&gt;=20,"Critical",IF($O321&gt;=15,"High",IF($O321&gt;=10,"Medium",IF($O321&gt;=5,"Low",IF($O321&gt;0,"Very Low","")))))</f>
        <v/>
      </c>
      <c r="S321" s="5" t="n"/>
      <c r="V321" s="5" t="n"/>
      <c r="W321" s="6" t="n"/>
      <c r="X321" s="6" t="n"/>
      <c r="Z321" s="5" t="n"/>
    </row>
    <row r="322">
      <c r="D322" s="5" t="n"/>
      <c r="E322" s="5" t="n"/>
      <c r="F322" s="5" t="n"/>
      <c r="I322">
        <f>VALUE(LEFT($G322,1))*VALUE(LEFT($H322,1))</f>
        <v/>
      </c>
      <c r="J322">
        <f>IF($I322&gt;=20,"Critical",IF($I322&gt;=15,"High",IF($I322&gt;=10,"Medium",IF($I322&gt;=5,"Low",IF($I322&gt;0,"Very Low","")))))</f>
        <v/>
      </c>
      <c r="K322" s="5" t="n"/>
      <c r="O322">
        <f>VALUE(LEFT($M322,1))*VALUE(LEFT($N322,1))</f>
        <v/>
      </c>
      <c r="P322">
        <f>IF($O322&gt;=20,"Critical",IF($O322&gt;=15,"High",IF($O322&gt;=10,"Medium",IF($O322&gt;=5,"Low",IF($O322&gt;0,"Very Low","")))))</f>
        <v/>
      </c>
      <c r="S322" s="5" t="n"/>
      <c r="V322" s="5" t="n"/>
      <c r="W322" s="6" t="n"/>
      <c r="X322" s="6" t="n"/>
      <c r="Z322" s="5" t="n"/>
    </row>
    <row r="323">
      <c r="D323" s="5" t="n"/>
      <c r="E323" s="5" t="n"/>
      <c r="F323" s="5" t="n"/>
      <c r="I323">
        <f>VALUE(LEFT($G323,1))*VALUE(LEFT($H323,1))</f>
        <v/>
      </c>
      <c r="J323">
        <f>IF($I323&gt;=20,"Critical",IF($I323&gt;=15,"High",IF($I323&gt;=10,"Medium",IF($I323&gt;=5,"Low",IF($I323&gt;0,"Very Low","")))))</f>
        <v/>
      </c>
      <c r="K323" s="5" t="n"/>
      <c r="O323">
        <f>VALUE(LEFT($M323,1))*VALUE(LEFT($N323,1))</f>
        <v/>
      </c>
      <c r="P323">
        <f>IF($O323&gt;=20,"Critical",IF($O323&gt;=15,"High",IF($O323&gt;=10,"Medium",IF($O323&gt;=5,"Low",IF($O323&gt;0,"Very Low","")))))</f>
        <v/>
      </c>
      <c r="S323" s="5" t="n"/>
      <c r="V323" s="5" t="n"/>
      <c r="W323" s="6" t="n"/>
      <c r="X323" s="6" t="n"/>
      <c r="Z323" s="5" t="n"/>
    </row>
    <row r="324">
      <c r="D324" s="5" t="n"/>
      <c r="E324" s="5" t="n"/>
      <c r="F324" s="5" t="n"/>
      <c r="I324">
        <f>VALUE(LEFT($G324,1))*VALUE(LEFT($H324,1))</f>
        <v/>
      </c>
      <c r="J324">
        <f>IF($I324&gt;=20,"Critical",IF($I324&gt;=15,"High",IF($I324&gt;=10,"Medium",IF($I324&gt;=5,"Low",IF($I324&gt;0,"Very Low","")))))</f>
        <v/>
      </c>
      <c r="K324" s="5" t="n"/>
      <c r="O324">
        <f>VALUE(LEFT($M324,1))*VALUE(LEFT($N324,1))</f>
        <v/>
      </c>
      <c r="P324">
        <f>IF($O324&gt;=20,"Critical",IF($O324&gt;=15,"High",IF($O324&gt;=10,"Medium",IF($O324&gt;=5,"Low",IF($O324&gt;0,"Very Low","")))))</f>
        <v/>
      </c>
      <c r="S324" s="5" t="n"/>
      <c r="V324" s="5" t="n"/>
      <c r="W324" s="6" t="n"/>
      <c r="X324" s="6" t="n"/>
      <c r="Z324" s="5" t="n"/>
    </row>
    <row r="325">
      <c r="D325" s="5" t="n"/>
      <c r="E325" s="5" t="n"/>
      <c r="F325" s="5" t="n"/>
      <c r="I325">
        <f>VALUE(LEFT($G325,1))*VALUE(LEFT($H325,1))</f>
        <v/>
      </c>
      <c r="J325">
        <f>IF($I325&gt;=20,"Critical",IF($I325&gt;=15,"High",IF($I325&gt;=10,"Medium",IF($I325&gt;=5,"Low",IF($I325&gt;0,"Very Low","")))))</f>
        <v/>
      </c>
      <c r="K325" s="5" t="n"/>
      <c r="O325">
        <f>VALUE(LEFT($M325,1))*VALUE(LEFT($N325,1))</f>
        <v/>
      </c>
      <c r="P325">
        <f>IF($O325&gt;=20,"Critical",IF($O325&gt;=15,"High",IF($O325&gt;=10,"Medium",IF($O325&gt;=5,"Low",IF($O325&gt;0,"Very Low","")))))</f>
        <v/>
      </c>
      <c r="S325" s="5" t="n"/>
      <c r="V325" s="5" t="n"/>
      <c r="W325" s="6" t="n"/>
      <c r="X325" s="6" t="n"/>
      <c r="Z325" s="5" t="n"/>
    </row>
    <row r="326">
      <c r="D326" s="5" t="n"/>
      <c r="E326" s="5" t="n"/>
      <c r="F326" s="5" t="n"/>
      <c r="I326">
        <f>VALUE(LEFT($G326,1))*VALUE(LEFT($H326,1))</f>
        <v/>
      </c>
      <c r="J326">
        <f>IF($I326&gt;=20,"Critical",IF($I326&gt;=15,"High",IF($I326&gt;=10,"Medium",IF($I326&gt;=5,"Low",IF($I326&gt;0,"Very Low","")))))</f>
        <v/>
      </c>
      <c r="K326" s="5" t="n"/>
      <c r="O326">
        <f>VALUE(LEFT($M326,1))*VALUE(LEFT($N326,1))</f>
        <v/>
      </c>
      <c r="P326">
        <f>IF($O326&gt;=20,"Critical",IF($O326&gt;=15,"High",IF($O326&gt;=10,"Medium",IF($O326&gt;=5,"Low",IF($O326&gt;0,"Very Low","")))))</f>
        <v/>
      </c>
      <c r="S326" s="5" t="n"/>
      <c r="V326" s="5" t="n"/>
      <c r="W326" s="6" t="n"/>
      <c r="X326" s="6" t="n"/>
      <c r="Z326" s="5" t="n"/>
    </row>
    <row r="327">
      <c r="D327" s="5" t="n"/>
      <c r="E327" s="5" t="n"/>
      <c r="F327" s="5" t="n"/>
      <c r="I327">
        <f>VALUE(LEFT($G327,1))*VALUE(LEFT($H327,1))</f>
        <v/>
      </c>
      <c r="J327">
        <f>IF($I327&gt;=20,"Critical",IF($I327&gt;=15,"High",IF($I327&gt;=10,"Medium",IF($I327&gt;=5,"Low",IF($I327&gt;0,"Very Low","")))))</f>
        <v/>
      </c>
      <c r="K327" s="5" t="n"/>
      <c r="O327">
        <f>VALUE(LEFT($M327,1))*VALUE(LEFT($N327,1))</f>
        <v/>
      </c>
      <c r="P327">
        <f>IF($O327&gt;=20,"Critical",IF($O327&gt;=15,"High",IF($O327&gt;=10,"Medium",IF($O327&gt;=5,"Low",IF($O327&gt;0,"Very Low","")))))</f>
        <v/>
      </c>
      <c r="S327" s="5" t="n"/>
      <c r="V327" s="5" t="n"/>
      <c r="W327" s="6" t="n"/>
      <c r="X327" s="6" t="n"/>
      <c r="Z327" s="5" t="n"/>
    </row>
    <row r="328">
      <c r="D328" s="5" t="n"/>
      <c r="E328" s="5" t="n"/>
      <c r="F328" s="5" t="n"/>
      <c r="I328">
        <f>VALUE(LEFT($G328,1))*VALUE(LEFT($H328,1))</f>
        <v/>
      </c>
      <c r="J328">
        <f>IF($I328&gt;=20,"Critical",IF($I328&gt;=15,"High",IF($I328&gt;=10,"Medium",IF($I328&gt;=5,"Low",IF($I328&gt;0,"Very Low","")))))</f>
        <v/>
      </c>
      <c r="K328" s="5" t="n"/>
      <c r="O328">
        <f>VALUE(LEFT($M328,1))*VALUE(LEFT($N328,1))</f>
        <v/>
      </c>
      <c r="P328">
        <f>IF($O328&gt;=20,"Critical",IF($O328&gt;=15,"High",IF($O328&gt;=10,"Medium",IF($O328&gt;=5,"Low",IF($O328&gt;0,"Very Low","")))))</f>
        <v/>
      </c>
      <c r="S328" s="5" t="n"/>
      <c r="V328" s="5" t="n"/>
      <c r="W328" s="6" t="n"/>
      <c r="X328" s="6" t="n"/>
      <c r="Z328" s="5" t="n"/>
    </row>
    <row r="329">
      <c r="D329" s="5" t="n"/>
      <c r="E329" s="5" t="n"/>
      <c r="F329" s="5" t="n"/>
      <c r="I329">
        <f>VALUE(LEFT($G329,1))*VALUE(LEFT($H329,1))</f>
        <v/>
      </c>
      <c r="J329">
        <f>IF($I329&gt;=20,"Critical",IF($I329&gt;=15,"High",IF($I329&gt;=10,"Medium",IF($I329&gt;=5,"Low",IF($I329&gt;0,"Very Low","")))))</f>
        <v/>
      </c>
      <c r="K329" s="5" t="n"/>
      <c r="O329">
        <f>VALUE(LEFT($M329,1))*VALUE(LEFT($N329,1))</f>
        <v/>
      </c>
      <c r="P329">
        <f>IF($O329&gt;=20,"Critical",IF($O329&gt;=15,"High",IF($O329&gt;=10,"Medium",IF($O329&gt;=5,"Low",IF($O329&gt;0,"Very Low","")))))</f>
        <v/>
      </c>
      <c r="S329" s="5" t="n"/>
      <c r="V329" s="5" t="n"/>
      <c r="W329" s="6" t="n"/>
      <c r="X329" s="6" t="n"/>
      <c r="Z329" s="5" t="n"/>
    </row>
    <row r="330">
      <c r="D330" s="5" t="n"/>
      <c r="E330" s="5" t="n"/>
      <c r="F330" s="5" t="n"/>
      <c r="I330">
        <f>VALUE(LEFT($G330,1))*VALUE(LEFT($H330,1))</f>
        <v/>
      </c>
      <c r="J330">
        <f>IF($I330&gt;=20,"Critical",IF($I330&gt;=15,"High",IF($I330&gt;=10,"Medium",IF($I330&gt;=5,"Low",IF($I330&gt;0,"Very Low","")))))</f>
        <v/>
      </c>
      <c r="K330" s="5" t="n"/>
      <c r="O330">
        <f>VALUE(LEFT($M330,1))*VALUE(LEFT($N330,1))</f>
        <v/>
      </c>
      <c r="P330">
        <f>IF($O330&gt;=20,"Critical",IF($O330&gt;=15,"High",IF($O330&gt;=10,"Medium",IF($O330&gt;=5,"Low",IF($O330&gt;0,"Very Low","")))))</f>
        <v/>
      </c>
      <c r="S330" s="5" t="n"/>
      <c r="V330" s="5" t="n"/>
      <c r="W330" s="6" t="n"/>
      <c r="X330" s="6" t="n"/>
      <c r="Z330" s="5" t="n"/>
    </row>
    <row r="331">
      <c r="D331" s="5" t="n"/>
      <c r="E331" s="5" t="n"/>
      <c r="F331" s="5" t="n"/>
      <c r="I331">
        <f>VALUE(LEFT($G331,1))*VALUE(LEFT($H331,1))</f>
        <v/>
      </c>
      <c r="J331">
        <f>IF($I331&gt;=20,"Critical",IF($I331&gt;=15,"High",IF($I331&gt;=10,"Medium",IF($I331&gt;=5,"Low",IF($I331&gt;0,"Very Low","")))))</f>
        <v/>
      </c>
      <c r="K331" s="5" t="n"/>
      <c r="O331">
        <f>VALUE(LEFT($M331,1))*VALUE(LEFT($N331,1))</f>
        <v/>
      </c>
      <c r="P331">
        <f>IF($O331&gt;=20,"Critical",IF($O331&gt;=15,"High",IF($O331&gt;=10,"Medium",IF($O331&gt;=5,"Low",IF($O331&gt;0,"Very Low","")))))</f>
        <v/>
      </c>
      <c r="S331" s="5" t="n"/>
      <c r="V331" s="5" t="n"/>
      <c r="W331" s="6" t="n"/>
      <c r="X331" s="6" t="n"/>
      <c r="Z331" s="5" t="n"/>
    </row>
    <row r="332">
      <c r="D332" s="5" t="n"/>
      <c r="E332" s="5" t="n"/>
      <c r="F332" s="5" t="n"/>
      <c r="I332">
        <f>VALUE(LEFT($G332,1))*VALUE(LEFT($H332,1))</f>
        <v/>
      </c>
      <c r="J332">
        <f>IF($I332&gt;=20,"Critical",IF($I332&gt;=15,"High",IF($I332&gt;=10,"Medium",IF($I332&gt;=5,"Low",IF($I332&gt;0,"Very Low","")))))</f>
        <v/>
      </c>
      <c r="K332" s="5" t="n"/>
      <c r="O332">
        <f>VALUE(LEFT($M332,1))*VALUE(LEFT($N332,1))</f>
        <v/>
      </c>
      <c r="P332">
        <f>IF($O332&gt;=20,"Critical",IF($O332&gt;=15,"High",IF($O332&gt;=10,"Medium",IF($O332&gt;=5,"Low",IF($O332&gt;0,"Very Low","")))))</f>
        <v/>
      </c>
      <c r="S332" s="5" t="n"/>
      <c r="V332" s="5" t="n"/>
      <c r="W332" s="6" t="n"/>
      <c r="X332" s="6" t="n"/>
      <c r="Z332" s="5" t="n"/>
    </row>
    <row r="333">
      <c r="D333" s="5" t="n"/>
      <c r="E333" s="5" t="n"/>
      <c r="F333" s="5" t="n"/>
      <c r="I333">
        <f>VALUE(LEFT($G333,1))*VALUE(LEFT($H333,1))</f>
        <v/>
      </c>
      <c r="J333">
        <f>IF($I333&gt;=20,"Critical",IF($I333&gt;=15,"High",IF($I333&gt;=10,"Medium",IF($I333&gt;=5,"Low",IF($I333&gt;0,"Very Low","")))))</f>
        <v/>
      </c>
      <c r="K333" s="5" t="n"/>
      <c r="O333">
        <f>VALUE(LEFT($M333,1))*VALUE(LEFT($N333,1))</f>
        <v/>
      </c>
      <c r="P333">
        <f>IF($O333&gt;=20,"Critical",IF($O333&gt;=15,"High",IF($O333&gt;=10,"Medium",IF($O333&gt;=5,"Low",IF($O333&gt;0,"Very Low","")))))</f>
        <v/>
      </c>
      <c r="S333" s="5" t="n"/>
      <c r="V333" s="5" t="n"/>
      <c r="W333" s="6" t="n"/>
      <c r="X333" s="6" t="n"/>
      <c r="Z333" s="5" t="n"/>
    </row>
    <row r="334">
      <c r="D334" s="5" t="n"/>
      <c r="E334" s="5" t="n"/>
      <c r="F334" s="5" t="n"/>
      <c r="I334">
        <f>VALUE(LEFT($G334,1))*VALUE(LEFT($H334,1))</f>
        <v/>
      </c>
      <c r="J334">
        <f>IF($I334&gt;=20,"Critical",IF($I334&gt;=15,"High",IF($I334&gt;=10,"Medium",IF($I334&gt;=5,"Low",IF($I334&gt;0,"Very Low","")))))</f>
        <v/>
      </c>
      <c r="K334" s="5" t="n"/>
      <c r="O334">
        <f>VALUE(LEFT($M334,1))*VALUE(LEFT($N334,1))</f>
        <v/>
      </c>
      <c r="P334">
        <f>IF($O334&gt;=20,"Critical",IF($O334&gt;=15,"High",IF($O334&gt;=10,"Medium",IF($O334&gt;=5,"Low",IF($O334&gt;0,"Very Low","")))))</f>
        <v/>
      </c>
      <c r="S334" s="5" t="n"/>
      <c r="V334" s="5" t="n"/>
      <c r="W334" s="6" t="n"/>
      <c r="X334" s="6" t="n"/>
      <c r="Z334" s="5" t="n"/>
    </row>
    <row r="335">
      <c r="D335" s="5" t="n"/>
      <c r="E335" s="5" t="n"/>
      <c r="F335" s="5" t="n"/>
      <c r="I335">
        <f>VALUE(LEFT($G335,1))*VALUE(LEFT($H335,1))</f>
        <v/>
      </c>
      <c r="J335">
        <f>IF($I335&gt;=20,"Critical",IF($I335&gt;=15,"High",IF($I335&gt;=10,"Medium",IF($I335&gt;=5,"Low",IF($I335&gt;0,"Very Low","")))))</f>
        <v/>
      </c>
      <c r="K335" s="5" t="n"/>
      <c r="O335">
        <f>VALUE(LEFT($M335,1))*VALUE(LEFT($N335,1))</f>
        <v/>
      </c>
      <c r="P335">
        <f>IF($O335&gt;=20,"Critical",IF($O335&gt;=15,"High",IF($O335&gt;=10,"Medium",IF($O335&gt;=5,"Low",IF($O335&gt;0,"Very Low","")))))</f>
        <v/>
      </c>
      <c r="S335" s="5" t="n"/>
      <c r="V335" s="5" t="n"/>
      <c r="W335" s="6" t="n"/>
      <c r="X335" s="6" t="n"/>
      <c r="Z335" s="5" t="n"/>
    </row>
    <row r="336">
      <c r="D336" s="5" t="n"/>
      <c r="E336" s="5" t="n"/>
      <c r="F336" s="5" t="n"/>
      <c r="I336">
        <f>VALUE(LEFT($G336,1))*VALUE(LEFT($H336,1))</f>
        <v/>
      </c>
      <c r="J336">
        <f>IF($I336&gt;=20,"Critical",IF($I336&gt;=15,"High",IF($I336&gt;=10,"Medium",IF($I336&gt;=5,"Low",IF($I336&gt;0,"Very Low","")))))</f>
        <v/>
      </c>
      <c r="K336" s="5" t="n"/>
      <c r="O336">
        <f>VALUE(LEFT($M336,1))*VALUE(LEFT($N336,1))</f>
        <v/>
      </c>
      <c r="P336">
        <f>IF($O336&gt;=20,"Critical",IF($O336&gt;=15,"High",IF($O336&gt;=10,"Medium",IF($O336&gt;=5,"Low",IF($O336&gt;0,"Very Low","")))))</f>
        <v/>
      </c>
      <c r="S336" s="5" t="n"/>
      <c r="V336" s="5" t="n"/>
      <c r="W336" s="6" t="n"/>
      <c r="X336" s="6" t="n"/>
      <c r="Z336" s="5" t="n"/>
    </row>
    <row r="337">
      <c r="D337" s="5" t="n"/>
      <c r="E337" s="5" t="n"/>
      <c r="F337" s="5" t="n"/>
      <c r="I337">
        <f>VALUE(LEFT($G337,1))*VALUE(LEFT($H337,1))</f>
        <v/>
      </c>
      <c r="J337">
        <f>IF($I337&gt;=20,"Critical",IF($I337&gt;=15,"High",IF($I337&gt;=10,"Medium",IF($I337&gt;=5,"Low",IF($I337&gt;0,"Very Low","")))))</f>
        <v/>
      </c>
      <c r="K337" s="5" t="n"/>
      <c r="O337">
        <f>VALUE(LEFT($M337,1))*VALUE(LEFT($N337,1))</f>
        <v/>
      </c>
      <c r="P337">
        <f>IF($O337&gt;=20,"Critical",IF($O337&gt;=15,"High",IF($O337&gt;=10,"Medium",IF($O337&gt;=5,"Low",IF($O337&gt;0,"Very Low","")))))</f>
        <v/>
      </c>
      <c r="S337" s="5" t="n"/>
      <c r="V337" s="5" t="n"/>
      <c r="W337" s="6" t="n"/>
      <c r="X337" s="6" t="n"/>
      <c r="Z337" s="5" t="n"/>
    </row>
    <row r="338">
      <c r="D338" s="5" t="n"/>
      <c r="E338" s="5" t="n"/>
      <c r="F338" s="5" t="n"/>
      <c r="I338">
        <f>VALUE(LEFT($G338,1))*VALUE(LEFT($H338,1))</f>
        <v/>
      </c>
      <c r="J338">
        <f>IF($I338&gt;=20,"Critical",IF($I338&gt;=15,"High",IF($I338&gt;=10,"Medium",IF($I338&gt;=5,"Low",IF($I338&gt;0,"Very Low","")))))</f>
        <v/>
      </c>
      <c r="K338" s="5" t="n"/>
      <c r="O338">
        <f>VALUE(LEFT($M338,1))*VALUE(LEFT($N338,1))</f>
        <v/>
      </c>
      <c r="P338">
        <f>IF($O338&gt;=20,"Critical",IF($O338&gt;=15,"High",IF($O338&gt;=10,"Medium",IF($O338&gt;=5,"Low",IF($O338&gt;0,"Very Low","")))))</f>
        <v/>
      </c>
      <c r="S338" s="5" t="n"/>
      <c r="V338" s="5" t="n"/>
      <c r="W338" s="6" t="n"/>
      <c r="X338" s="6" t="n"/>
      <c r="Z338" s="5" t="n"/>
    </row>
    <row r="339">
      <c r="D339" s="5" t="n"/>
      <c r="E339" s="5" t="n"/>
      <c r="F339" s="5" t="n"/>
      <c r="I339">
        <f>VALUE(LEFT($G339,1))*VALUE(LEFT($H339,1))</f>
        <v/>
      </c>
      <c r="J339">
        <f>IF($I339&gt;=20,"Critical",IF($I339&gt;=15,"High",IF($I339&gt;=10,"Medium",IF($I339&gt;=5,"Low",IF($I339&gt;0,"Very Low","")))))</f>
        <v/>
      </c>
      <c r="K339" s="5" t="n"/>
      <c r="O339">
        <f>VALUE(LEFT($M339,1))*VALUE(LEFT($N339,1))</f>
        <v/>
      </c>
      <c r="P339">
        <f>IF($O339&gt;=20,"Critical",IF($O339&gt;=15,"High",IF($O339&gt;=10,"Medium",IF($O339&gt;=5,"Low",IF($O339&gt;0,"Very Low","")))))</f>
        <v/>
      </c>
      <c r="S339" s="5" t="n"/>
      <c r="V339" s="5" t="n"/>
      <c r="W339" s="6" t="n"/>
      <c r="X339" s="6" t="n"/>
      <c r="Z339" s="5" t="n"/>
    </row>
    <row r="340">
      <c r="D340" s="5" t="n"/>
      <c r="E340" s="5" t="n"/>
      <c r="F340" s="5" t="n"/>
      <c r="I340">
        <f>VALUE(LEFT($G340,1))*VALUE(LEFT($H340,1))</f>
        <v/>
      </c>
      <c r="J340">
        <f>IF($I340&gt;=20,"Critical",IF($I340&gt;=15,"High",IF($I340&gt;=10,"Medium",IF($I340&gt;=5,"Low",IF($I340&gt;0,"Very Low","")))))</f>
        <v/>
      </c>
      <c r="K340" s="5" t="n"/>
      <c r="O340">
        <f>VALUE(LEFT($M340,1))*VALUE(LEFT($N340,1))</f>
        <v/>
      </c>
      <c r="P340">
        <f>IF($O340&gt;=20,"Critical",IF($O340&gt;=15,"High",IF($O340&gt;=10,"Medium",IF($O340&gt;=5,"Low",IF($O340&gt;0,"Very Low","")))))</f>
        <v/>
      </c>
      <c r="S340" s="5" t="n"/>
      <c r="V340" s="5" t="n"/>
      <c r="W340" s="6" t="n"/>
      <c r="X340" s="6" t="n"/>
      <c r="Z340" s="5" t="n"/>
    </row>
    <row r="341">
      <c r="D341" s="5" t="n"/>
      <c r="E341" s="5" t="n"/>
      <c r="F341" s="5" t="n"/>
      <c r="I341">
        <f>VALUE(LEFT($G341,1))*VALUE(LEFT($H341,1))</f>
        <v/>
      </c>
      <c r="J341">
        <f>IF($I341&gt;=20,"Critical",IF($I341&gt;=15,"High",IF($I341&gt;=10,"Medium",IF($I341&gt;=5,"Low",IF($I341&gt;0,"Very Low","")))))</f>
        <v/>
      </c>
      <c r="K341" s="5" t="n"/>
      <c r="O341">
        <f>VALUE(LEFT($M341,1))*VALUE(LEFT($N341,1))</f>
        <v/>
      </c>
      <c r="P341">
        <f>IF($O341&gt;=20,"Critical",IF($O341&gt;=15,"High",IF($O341&gt;=10,"Medium",IF($O341&gt;=5,"Low",IF($O341&gt;0,"Very Low","")))))</f>
        <v/>
      </c>
      <c r="S341" s="5" t="n"/>
      <c r="V341" s="5" t="n"/>
      <c r="W341" s="6" t="n"/>
      <c r="X341" s="6" t="n"/>
      <c r="Z341" s="5" t="n"/>
    </row>
    <row r="342">
      <c r="D342" s="5" t="n"/>
      <c r="E342" s="5" t="n"/>
      <c r="F342" s="5" t="n"/>
      <c r="I342">
        <f>VALUE(LEFT($G342,1))*VALUE(LEFT($H342,1))</f>
        <v/>
      </c>
      <c r="J342">
        <f>IF($I342&gt;=20,"Critical",IF($I342&gt;=15,"High",IF($I342&gt;=10,"Medium",IF($I342&gt;=5,"Low",IF($I342&gt;0,"Very Low","")))))</f>
        <v/>
      </c>
      <c r="K342" s="5" t="n"/>
      <c r="O342">
        <f>VALUE(LEFT($M342,1))*VALUE(LEFT($N342,1))</f>
        <v/>
      </c>
      <c r="P342">
        <f>IF($O342&gt;=20,"Critical",IF($O342&gt;=15,"High",IF($O342&gt;=10,"Medium",IF($O342&gt;=5,"Low",IF($O342&gt;0,"Very Low","")))))</f>
        <v/>
      </c>
      <c r="S342" s="5" t="n"/>
      <c r="V342" s="5" t="n"/>
      <c r="W342" s="6" t="n"/>
      <c r="X342" s="6" t="n"/>
      <c r="Z342" s="5" t="n"/>
    </row>
    <row r="343">
      <c r="D343" s="5" t="n"/>
      <c r="E343" s="5" t="n"/>
      <c r="F343" s="5" t="n"/>
      <c r="I343">
        <f>VALUE(LEFT($G343,1))*VALUE(LEFT($H343,1))</f>
        <v/>
      </c>
      <c r="J343">
        <f>IF($I343&gt;=20,"Critical",IF($I343&gt;=15,"High",IF($I343&gt;=10,"Medium",IF($I343&gt;=5,"Low",IF($I343&gt;0,"Very Low","")))))</f>
        <v/>
      </c>
      <c r="K343" s="5" t="n"/>
      <c r="O343">
        <f>VALUE(LEFT($M343,1))*VALUE(LEFT($N343,1))</f>
        <v/>
      </c>
      <c r="P343">
        <f>IF($O343&gt;=20,"Critical",IF($O343&gt;=15,"High",IF($O343&gt;=10,"Medium",IF($O343&gt;=5,"Low",IF($O343&gt;0,"Very Low","")))))</f>
        <v/>
      </c>
      <c r="S343" s="5" t="n"/>
      <c r="V343" s="5" t="n"/>
      <c r="W343" s="6" t="n"/>
      <c r="X343" s="6" t="n"/>
      <c r="Z343" s="5" t="n"/>
    </row>
    <row r="344">
      <c r="D344" s="5" t="n"/>
      <c r="E344" s="5" t="n"/>
      <c r="F344" s="5" t="n"/>
      <c r="I344">
        <f>VALUE(LEFT($G344,1))*VALUE(LEFT($H344,1))</f>
        <v/>
      </c>
      <c r="J344">
        <f>IF($I344&gt;=20,"Critical",IF($I344&gt;=15,"High",IF($I344&gt;=10,"Medium",IF($I344&gt;=5,"Low",IF($I344&gt;0,"Very Low","")))))</f>
        <v/>
      </c>
      <c r="K344" s="5" t="n"/>
      <c r="O344">
        <f>VALUE(LEFT($M344,1))*VALUE(LEFT($N344,1))</f>
        <v/>
      </c>
      <c r="P344">
        <f>IF($O344&gt;=20,"Critical",IF($O344&gt;=15,"High",IF($O344&gt;=10,"Medium",IF($O344&gt;=5,"Low",IF($O344&gt;0,"Very Low","")))))</f>
        <v/>
      </c>
      <c r="S344" s="5" t="n"/>
      <c r="V344" s="5" t="n"/>
      <c r="W344" s="6" t="n"/>
      <c r="X344" s="6" t="n"/>
      <c r="Z344" s="5" t="n"/>
    </row>
    <row r="345">
      <c r="D345" s="5" t="n"/>
      <c r="E345" s="5" t="n"/>
      <c r="F345" s="5" t="n"/>
      <c r="I345">
        <f>VALUE(LEFT($G345,1))*VALUE(LEFT($H345,1))</f>
        <v/>
      </c>
      <c r="J345">
        <f>IF($I345&gt;=20,"Critical",IF($I345&gt;=15,"High",IF($I345&gt;=10,"Medium",IF($I345&gt;=5,"Low",IF($I345&gt;0,"Very Low","")))))</f>
        <v/>
      </c>
      <c r="K345" s="5" t="n"/>
      <c r="O345">
        <f>VALUE(LEFT($M345,1))*VALUE(LEFT($N345,1))</f>
        <v/>
      </c>
      <c r="P345">
        <f>IF($O345&gt;=20,"Critical",IF($O345&gt;=15,"High",IF($O345&gt;=10,"Medium",IF($O345&gt;=5,"Low",IF($O345&gt;0,"Very Low","")))))</f>
        <v/>
      </c>
      <c r="S345" s="5" t="n"/>
      <c r="V345" s="5" t="n"/>
      <c r="W345" s="6" t="n"/>
      <c r="X345" s="6" t="n"/>
      <c r="Z345" s="5" t="n"/>
    </row>
    <row r="346">
      <c r="D346" s="5" t="n"/>
      <c r="E346" s="5" t="n"/>
      <c r="F346" s="5" t="n"/>
      <c r="I346">
        <f>VALUE(LEFT($G346,1))*VALUE(LEFT($H346,1))</f>
        <v/>
      </c>
      <c r="J346">
        <f>IF($I346&gt;=20,"Critical",IF($I346&gt;=15,"High",IF($I346&gt;=10,"Medium",IF($I346&gt;=5,"Low",IF($I346&gt;0,"Very Low","")))))</f>
        <v/>
      </c>
      <c r="K346" s="5" t="n"/>
      <c r="O346">
        <f>VALUE(LEFT($M346,1))*VALUE(LEFT($N346,1))</f>
        <v/>
      </c>
      <c r="P346">
        <f>IF($O346&gt;=20,"Critical",IF($O346&gt;=15,"High",IF($O346&gt;=10,"Medium",IF($O346&gt;=5,"Low",IF($O346&gt;0,"Very Low","")))))</f>
        <v/>
      </c>
      <c r="S346" s="5" t="n"/>
      <c r="V346" s="5" t="n"/>
      <c r="W346" s="6" t="n"/>
      <c r="X346" s="6" t="n"/>
      <c r="Z346" s="5" t="n"/>
    </row>
    <row r="347">
      <c r="D347" s="5" t="n"/>
      <c r="E347" s="5" t="n"/>
      <c r="F347" s="5" t="n"/>
      <c r="I347">
        <f>VALUE(LEFT($G347,1))*VALUE(LEFT($H347,1))</f>
        <v/>
      </c>
      <c r="J347">
        <f>IF($I347&gt;=20,"Critical",IF($I347&gt;=15,"High",IF($I347&gt;=10,"Medium",IF($I347&gt;=5,"Low",IF($I347&gt;0,"Very Low","")))))</f>
        <v/>
      </c>
      <c r="K347" s="5" t="n"/>
      <c r="O347">
        <f>VALUE(LEFT($M347,1))*VALUE(LEFT($N347,1))</f>
        <v/>
      </c>
      <c r="P347">
        <f>IF($O347&gt;=20,"Critical",IF($O347&gt;=15,"High",IF($O347&gt;=10,"Medium",IF($O347&gt;=5,"Low",IF($O347&gt;0,"Very Low","")))))</f>
        <v/>
      </c>
      <c r="S347" s="5" t="n"/>
      <c r="V347" s="5" t="n"/>
      <c r="W347" s="6" t="n"/>
      <c r="X347" s="6" t="n"/>
      <c r="Z347" s="5" t="n"/>
    </row>
    <row r="348">
      <c r="D348" s="5" t="n"/>
      <c r="E348" s="5" t="n"/>
      <c r="F348" s="5" t="n"/>
      <c r="I348">
        <f>VALUE(LEFT($G348,1))*VALUE(LEFT($H348,1))</f>
        <v/>
      </c>
      <c r="J348">
        <f>IF($I348&gt;=20,"Critical",IF($I348&gt;=15,"High",IF($I348&gt;=10,"Medium",IF($I348&gt;=5,"Low",IF($I348&gt;0,"Very Low","")))))</f>
        <v/>
      </c>
      <c r="K348" s="5" t="n"/>
      <c r="O348">
        <f>VALUE(LEFT($M348,1))*VALUE(LEFT($N348,1))</f>
        <v/>
      </c>
      <c r="P348">
        <f>IF($O348&gt;=20,"Critical",IF($O348&gt;=15,"High",IF($O348&gt;=10,"Medium",IF($O348&gt;=5,"Low",IF($O348&gt;0,"Very Low","")))))</f>
        <v/>
      </c>
      <c r="S348" s="5" t="n"/>
      <c r="V348" s="5" t="n"/>
      <c r="W348" s="6" t="n"/>
      <c r="X348" s="6" t="n"/>
      <c r="Z348" s="5" t="n"/>
    </row>
    <row r="349">
      <c r="D349" s="5" t="n"/>
      <c r="E349" s="5" t="n"/>
      <c r="F349" s="5" t="n"/>
      <c r="I349">
        <f>VALUE(LEFT($G349,1))*VALUE(LEFT($H349,1))</f>
        <v/>
      </c>
      <c r="J349">
        <f>IF($I349&gt;=20,"Critical",IF($I349&gt;=15,"High",IF($I349&gt;=10,"Medium",IF($I349&gt;=5,"Low",IF($I349&gt;0,"Very Low","")))))</f>
        <v/>
      </c>
      <c r="K349" s="5" t="n"/>
      <c r="O349">
        <f>VALUE(LEFT($M349,1))*VALUE(LEFT($N349,1))</f>
        <v/>
      </c>
      <c r="P349">
        <f>IF($O349&gt;=20,"Critical",IF($O349&gt;=15,"High",IF($O349&gt;=10,"Medium",IF($O349&gt;=5,"Low",IF($O349&gt;0,"Very Low","")))))</f>
        <v/>
      </c>
      <c r="S349" s="5" t="n"/>
      <c r="V349" s="5" t="n"/>
      <c r="W349" s="6" t="n"/>
      <c r="X349" s="6" t="n"/>
      <c r="Z349" s="5" t="n"/>
    </row>
    <row r="350">
      <c r="D350" s="5" t="n"/>
      <c r="E350" s="5" t="n"/>
      <c r="F350" s="5" t="n"/>
      <c r="I350">
        <f>VALUE(LEFT($G350,1))*VALUE(LEFT($H350,1))</f>
        <v/>
      </c>
      <c r="J350">
        <f>IF($I350&gt;=20,"Critical",IF($I350&gt;=15,"High",IF($I350&gt;=10,"Medium",IF($I350&gt;=5,"Low",IF($I350&gt;0,"Very Low","")))))</f>
        <v/>
      </c>
      <c r="K350" s="5" t="n"/>
      <c r="O350">
        <f>VALUE(LEFT($M350,1))*VALUE(LEFT($N350,1))</f>
        <v/>
      </c>
      <c r="P350">
        <f>IF($O350&gt;=20,"Critical",IF($O350&gt;=15,"High",IF($O350&gt;=10,"Medium",IF($O350&gt;=5,"Low",IF($O350&gt;0,"Very Low","")))))</f>
        <v/>
      </c>
      <c r="S350" s="5" t="n"/>
      <c r="V350" s="5" t="n"/>
      <c r="W350" s="6" t="n"/>
      <c r="X350" s="6" t="n"/>
      <c r="Z350" s="5" t="n"/>
    </row>
    <row r="351">
      <c r="D351" s="5" t="n"/>
      <c r="E351" s="5" t="n"/>
      <c r="F351" s="5" t="n"/>
      <c r="I351">
        <f>VALUE(LEFT($G351,1))*VALUE(LEFT($H351,1))</f>
        <v/>
      </c>
      <c r="J351">
        <f>IF($I351&gt;=20,"Critical",IF($I351&gt;=15,"High",IF($I351&gt;=10,"Medium",IF($I351&gt;=5,"Low",IF($I351&gt;0,"Very Low","")))))</f>
        <v/>
      </c>
      <c r="K351" s="5" t="n"/>
      <c r="O351">
        <f>VALUE(LEFT($M351,1))*VALUE(LEFT($N351,1))</f>
        <v/>
      </c>
      <c r="P351">
        <f>IF($O351&gt;=20,"Critical",IF($O351&gt;=15,"High",IF($O351&gt;=10,"Medium",IF($O351&gt;=5,"Low",IF($O351&gt;0,"Very Low","")))))</f>
        <v/>
      </c>
      <c r="S351" s="5" t="n"/>
      <c r="V351" s="5" t="n"/>
      <c r="W351" s="6" t="n"/>
      <c r="X351" s="6" t="n"/>
      <c r="Z351" s="5" t="n"/>
    </row>
    <row r="352">
      <c r="D352" s="5" t="n"/>
      <c r="E352" s="5" t="n"/>
      <c r="F352" s="5" t="n"/>
      <c r="I352">
        <f>VALUE(LEFT($G352,1))*VALUE(LEFT($H352,1))</f>
        <v/>
      </c>
      <c r="J352">
        <f>IF($I352&gt;=20,"Critical",IF($I352&gt;=15,"High",IF($I352&gt;=10,"Medium",IF($I352&gt;=5,"Low",IF($I352&gt;0,"Very Low","")))))</f>
        <v/>
      </c>
      <c r="K352" s="5" t="n"/>
      <c r="O352">
        <f>VALUE(LEFT($M352,1))*VALUE(LEFT($N352,1))</f>
        <v/>
      </c>
      <c r="P352">
        <f>IF($O352&gt;=20,"Critical",IF($O352&gt;=15,"High",IF($O352&gt;=10,"Medium",IF($O352&gt;=5,"Low",IF($O352&gt;0,"Very Low","")))))</f>
        <v/>
      </c>
      <c r="S352" s="5" t="n"/>
      <c r="V352" s="5" t="n"/>
      <c r="W352" s="6" t="n"/>
      <c r="X352" s="6" t="n"/>
      <c r="Z352" s="5" t="n"/>
    </row>
    <row r="353">
      <c r="D353" s="5" t="n"/>
      <c r="E353" s="5" t="n"/>
      <c r="F353" s="5" t="n"/>
      <c r="I353">
        <f>VALUE(LEFT($G353,1))*VALUE(LEFT($H353,1))</f>
        <v/>
      </c>
      <c r="J353">
        <f>IF($I353&gt;=20,"Critical",IF($I353&gt;=15,"High",IF($I353&gt;=10,"Medium",IF($I353&gt;=5,"Low",IF($I353&gt;0,"Very Low","")))))</f>
        <v/>
      </c>
      <c r="K353" s="5" t="n"/>
      <c r="O353">
        <f>VALUE(LEFT($M353,1))*VALUE(LEFT($N353,1))</f>
        <v/>
      </c>
      <c r="P353">
        <f>IF($O353&gt;=20,"Critical",IF($O353&gt;=15,"High",IF($O353&gt;=10,"Medium",IF($O353&gt;=5,"Low",IF($O353&gt;0,"Very Low","")))))</f>
        <v/>
      </c>
      <c r="S353" s="5" t="n"/>
      <c r="V353" s="5" t="n"/>
      <c r="W353" s="6" t="n"/>
      <c r="X353" s="6" t="n"/>
      <c r="Z353" s="5" t="n"/>
    </row>
    <row r="354">
      <c r="D354" s="5" t="n"/>
      <c r="E354" s="5" t="n"/>
      <c r="F354" s="5" t="n"/>
      <c r="I354">
        <f>VALUE(LEFT($G354,1))*VALUE(LEFT($H354,1))</f>
        <v/>
      </c>
      <c r="J354">
        <f>IF($I354&gt;=20,"Critical",IF($I354&gt;=15,"High",IF($I354&gt;=10,"Medium",IF($I354&gt;=5,"Low",IF($I354&gt;0,"Very Low","")))))</f>
        <v/>
      </c>
      <c r="K354" s="5" t="n"/>
      <c r="O354">
        <f>VALUE(LEFT($M354,1))*VALUE(LEFT($N354,1))</f>
        <v/>
      </c>
      <c r="P354">
        <f>IF($O354&gt;=20,"Critical",IF($O354&gt;=15,"High",IF($O354&gt;=10,"Medium",IF($O354&gt;=5,"Low",IF($O354&gt;0,"Very Low","")))))</f>
        <v/>
      </c>
      <c r="S354" s="5" t="n"/>
      <c r="V354" s="5" t="n"/>
      <c r="W354" s="6" t="n"/>
      <c r="X354" s="6" t="n"/>
      <c r="Z354" s="5" t="n"/>
    </row>
    <row r="355">
      <c r="D355" s="5" t="n"/>
      <c r="E355" s="5" t="n"/>
      <c r="F355" s="5" t="n"/>
      <c r="I355">
        <f>VALUE(LEFT($G355,1))*VALUE(LEFT($H355,1))</f>
        <v/>
      </c>
      <c r="J355">
        <f>IF($I355&gt;=20,"Critical",IF($I355&gt;=15,"High",IF($I355&gt;=10,"Medium",IF($I355&gt;=5,"Low",IF($I355&gt;0,"Very Low","")))))</f>
        <v/>
      </c>
      <c r="K355" s="5" t="n"/>
      <c r="O355">
        <f>VALUE(LEFT($M355,1))*VALUE(LEFT($N355,1))</f>
        <v/>
      </c>
      <c r="P355">
        <f>IF($O355&gt;=20,"Critical",IF($O355&gt;=15,"High",IF($O355&gt;=10,"Medium",IF($O355&gt;=5,"Low",IF($O355&gt;0,"Very Low","")))))</f>
        <v/>
      </c>
      <c r="S355" s="5" t="n"/>
      <c r="V355" s="5" t="n"/>
      <c r="W355" s="6" t="n"/>
      <c r="X355" s="6" t="n"/>
      <c r="Z355" s="5" t="n"/>
    </row>
    <row r="356">
      <c r="D356" s="5" t="n"/>
      <c r="E356" s="5" t="n"/>
      <c r="F356" s="5" t="n"/>
      <c r="I356">
        <f>VALUE(LEFT($G356,1))*VALUE(LEFT($H356,1))</f>
        <v/>
      </c>
      <c r="J356">
        <f>IF($I356&gt;=20,"Critical",IF($I356&gt;=15,"High",IF($I356&gt;=10,"Medium",IF($I356&gt;=5,"Low",IF($I356&gt;0,"Very Low","")))))</f>
        <v/>
      </c>
      <c r="K356" s="5" t="n"/>
      <c r="O356">
        <f>VALUE(LEFT($M356,1))*VALUE(LEFT($N356,1))</f>
        <v/>
      </c>
      <c r="P356">
        <f>IF($O356&gt;=20,"Critical",IF($O356&gt;=15,"High",IF($O356&gt;=10,"Medium",IF($O356&gt;=5,"Low",IF($O356&gt;0,"Very Low","")))))</f>
        <v/>
      </c>
      <c r="S356" s="5" t="n"/>
      <c r="V356" s="5" t="n"/>
      <c r="W356" s="6" t="n"/>
      <c r="X356" s="6" t="n"/>
      <c r="Z356" s="5" t="n"/>
    </row>
    <row r="357">
      <c r="D357" s="5" t="n"/>
      <c r="E357" s="5" t="n"/>
      <c r="F357" s="5" t="n"/>
      <c r="I357">
        <f>VALUE(LEFT($G357,1))*VALUE(LEFT($H357,1))</f>
        <v/>
      </c>
      <c r="J357">
        <f>IF($I357&gt;=20,"Critical",IF($I357&gt;=15,"High",IF($I357&gt;=10,"Medium",IF($I357&gt;=5,"Low",IF($I357&gt;0,"Very Low","")))))</f>
        <v/>
      </c>
      <c r="K357" s="5" t="n"/>
      <c r="O357">
        <f>VALUE(LEFT($M357,1))*VALUE(LEFT($N357,1))</f>
        <v/>
      </c>
      <c r="P357">
        <f>IF($O357&gt;=20,"Critical",IF($O357&gt;=15,"High",IF($O357&gt;=10,"Medium",IF($O357&gt;=5,"Low",IF($O357&gt;0,"Very Low","")))))</f>
        <v/>
      </c>
      <c r="S357" s="5" t="n"/>
      <c r="V357" s="5" t="n"/>
      <c r="W357" s="6" t="n"/>
      <c r="X357" s="6" t="n"/>
      <c r="Z357" s="5" t="n"/>
    </row>
    <row r="358">
      <c r="D358" s="5" t="n"/>
      <c r="E358" s="5" t="n"/>
      <c r="F358" s="5" t="n"/>
      <c r="I358">
        <f>VALUE(LEFT($G358,1))*VALUE(LEFT($H358,1))</f>
        <v/>
      </c>
      <c r="J358">
        <f>IF($I358&gt;=20,"Critical",IF($I358&gt;=15,"High",IF($I358&gt;=10,"Medium",IF($I358&gt;=5,"Low",IF($I358&gt;0,"Very Low","")))))</f>
        <v/>
      </c>
      <c r="K358" s="5" t="n"/>
      <c r="O358">
        <f>VALUE(LEFT($M358,1))*VALUE(LEFT($N358,1))</f>
        <v/>
      </c>
      <c r="P358">
        <f>IF($O358&gt;=20,"Critical",IF($O358&gt;=15,"High",IF($O358&gt;=10,"Medium",IF($O358&gt;=5,"Low",IF($O358&gt;0,"Very Low","")))))</f>
        <v/>
      </c>
      <c r="S358" s="5" t="n"/>
      <c r="V358" s="5" t="n"/>
      <c r="W358" s="6" t="n"/>
      <c r="X358" s="6" t="n"/>
      <c r="Z358" s="5" t="n"/>
    </row>
    <row r="359">
      <c r="D359" s="5" t="n"/>
      <c r="E359" s="5" t="n"/>
      <c r="F359" s="5" t="n"/>
      <c r="I359">
        <f>VALUE(LEFT($G359,1))*VALUE(LEFT($H359,1))</f>
        <v/>
      </c>
      <c r="J359">
        <f>IF($I359&gt;=20,"Critical",IF($I359&gt;=15,"High",IF($I359&gt;=10,"Medium",IF($I359&gt;=5,"Low",IF($I359&gt;0,"Very Low","")))))</f>
        <v/>
      </c>
      <c r="K359" s="5" t="n"/>
      <c r="O359">
        <f>VALUE(LEFT($M359,1))*VALUE(LEFT($N359,1))</f>
        <v/>
      </c>
      <c r="P359">
        <f>IF($O359&gt;=20,"Critical",IF($O359&gt;=15,"High",IF($O359&gt;=10,"Medium",IF($O359&gt;=5,"Low",IF($O359&gt;0,"Very Low","")))))</f>
        <v/>
      </c>
      <c r="S359" s="5" t="n"/>
      <c r="V359" s="5" t="n"/>
      <c r="W359" s="6" t="n"/>
      <c r="X359" s="6" t="n"/>
      <c r="Z359" s="5" t="n"/>
    </row>
    <row r="360">
      <c r="D360" s="5" t="n"/>
      <c r="E360" s="5" t="n"/>
      <c r="F360" s="5" t="n"/>
      <c r="I360">
        <f>VALUE(LEFT($G360,1))*VALUE(LEFT($H360,1))</f>
        <v/>
      </c>
      <c r="J360">
        <f>IF($I360&gt;=20,"Critical",IF($I360&gt;=15,"High",IF($I360&gt;=10,"Medium",IF($I360&gt;=5,"Low",IF($I360&gt;0,"Very Low","")))))</f>
        <v/>
      </c>
      <c r="K360" s="5" t="n"/>
      <c r="O360">
        <f>VALUE(LEFT($M360,1))*VALUE(LEFT($N360,1))</f>
        <v/>
      </c>
      <c r="P360">
        <f>IF($O360&gt;=20,"Critical",IF($O360&gt;=15,"High",IF($O360&gt;=10,"Medium",IF($O360&gt;=5,"Low",IF($O360&gt;0,"Very Low","")))))</f>
        <v/>
      </c>
      <c r="S360" s="5" t="n"/>
      <c r="V360" s="5" t="n"/>
      <c r="W360" s="6" t="n"/>
      <c r="X360" s="6" t="n"/>
      <c r="Z360" s="5" t="n"/>
    </row>
    <row r="361">
      <c r="D361" s="5" t="n"/>
      <c r="E361" s="5" t="n"/>
      <c r="F361" s="5" t="n"/>
      <c r="I361">
        <f>VALUE(LEFT($G361,1))*VALUE(LEFT($H361,1))</f>
        <v/>
      </c>
      <c r="J361">
        <f>IF($I361&gt;=20,"Critical",IF($I361&gt;=15,"High",IF($I361&gt;=10,"Medium",IF($I361&gt;=5,"Low",IF($I361&gt;0,"Very Low","")))))</f>
        <v/>
      </c>
      <c r="K361" s="5" t="n"/>
      <c r="O361">
        <f>VALUE(LEFT($M361,1))*VALUE(LEFT($N361,1))</f>
        <v/>
      </c>
      <c r="P361">
        <f>IF($O361&gt;=20,"Critical",IF($O361&gt;=15,"High",IF($O361&gt;=10,"Medium",IF($O361&gt;=5,"Low",IF($O361&gt;0,"Very Low","")))))</f>
        <v/>
      </c>
      <c r="S361" s="5" t="n"/>
      <c r="V361" s="5" t="n"/>
      <c r="W361" s="6" t="n"/>
      <c r="X361" s="6" t="n"/>
      <c r="Z361" s="5" t="n"/>
    </row>
    <row r="362">
      <c r="D362" s="5" t="n"/>
      <c r="E362" s="5" t="n"/>
      <c r="F362" s="5" t="n"/>
      <c r="I362">
        <f>VALUE(LEFT($G362,1))*VALUE(LEFT($H362,1))</f>
        <v/>
      </c>
      <c r="J362">
        <f>IF($I362&gt;=20,"Critical",IF($I362&gt;=15,"High",IF($I362&gt;=10,"Medium",IF($I362&gt;=5,"Low",IF($I362&gt;0,"Very Low","")))))</f>
        <v/>
      </c>
      <c r="K362" s="5" t="n"/>
      <c r="O362">
        <f>VALUE(LEFT($M362,1))*VALUE(LEFT($N362,1))</f>
        <v/>
      </c>
      <c r="P362">
        <f>IF($O362&gt;=20,"Critical",IF($O362&gt;=15,"High",IF($O362&gt;=10,"Medium",IF($O362&gt;=5,"Low",IF($O362&gt;0,"Very Low","")))))</f>
        <v/>
      </c>
      <c r="S362" s="5" t="n"/>
      <c r="V362" s="5" t="n"/>
      <c r="W362" s="6" t="n"/>
      <c r="X362" s="6" t="n"/>
      <c r="Z362" s="5" t="n"/>
    </row>
    <row r="363">
      <c r="D363" s="5" t="n"/>
      <c r="E363" s="5" t="n"/>
      <c r="F363" s="5" t="n"/>
      <c r="I363">
        <f>VALUE(LEFT($G363,1))*VALUE(LEFT($H363,1))</f>
        <v/>
      </c>
      <c r="J363">
        <f>IF($I363&gt;=20,"Critical",IF($I363&gt;=15,"High",IF($I363&gt;=10,"Medium",IF($I363&gt;=5,"Low",IF($I363&gt;0,"Very Low","")))))</f>
        <v/>
      </c>
      <c r="K363" s="5" t="n"/>
      <c r="O363">
        <f>VALUE(LEFT($M363,1))*VALUE(LEFT($N363,1))</f>
        <v/>
      </c>
      <c r="P363">
        <f>IF($O363&gt;=20,"Critical",IF($O363&gt;=15,"High",IF($O363&gt;=10,"Medium",IF($O363&gt;=5,"Low",IF($O363&gt;0,"Very Low","")))))</f>
        <v/>
      </c>
      <c r="S363" s="5" t="n"/>
      <c r="V363" s="5" t="n"/>
      <c r="W363" s="6" t="n"/>
      <c r="X363" s="6" t="n"/>
      <c r="Z363" s="5" t="n"/>
    </row>
    <row r="364">
      <c r="D364" s="5" t="n"/>
      <c r="E364" s="5" t="n"/>
      <c r="F364" s="5" t="n"/>
      <c r="I364">
        <f>VALUE(LEFT($G364,1))*VALUE(LEFT($H364,1))</f>
        <v/>
      </c>
      <c r="J364">
        <f>IF($I364&gt;=20,"Critical",IF($I364&gt;=15,"High",IF($I364&gt;=10,"Medium",IF($I364&gt;=5,"Low",IF($I364&gt;0,"Very Low","")))))</f>
        <v/>
      </c>
      <c r="K364" s="5" t="n"/>
      <c r="O364">
        <f>VALUE(LEFT($M364,1))*VALUE(LEFT($N364,1))</f>
        <v/>
      </c>
      <c r="P364">
        <f>IF($O364&gt;=20,"Critical",IF($O364&gt;=15,"High",IF($O364&gt;=10,"Medium",IF($O364&gt;=5,"Low",IF($O364&gt;0,"Very Low","")))))</f>
        <v/>
      </c>
      <c r="S364" s="5" t="n"/>
      <c r="V364" s="5" t="n"/>
      <c r="W364" s="6" t="n"/>
      <c r="X364" s="6" t="n"/>
      <c r="Z364" s="5" t="n"/>
    </row>
    <row r="365">
      <c r="D365" s="5" t="n"/>
      <c r="E365" s="5" t="n"/>
      <c r="F365" s="5" t="n"/>
      <c r="I365">
        <f>VALUE(LEFT($G365,1))*VALUE(LEFT($H365,1))</f>
        <v/>
      </c>
      <c r="J365">
        <f>IF($I365&gt;=20,"Critical",IF($I365&gt;=15,"High",IF($I365&gt;=10,"Medium",IF($I365&gt;=5,"Low",IF($I365&gt;0,"Very Low","")))))</f>
        <v/>
      </c>
      <c r="K365" s="5" t="n"/>
      <c r="O365">
        <f>VALUE(LEFT($M365,1))*VALUE(LEFT($N365,1))</f>
        <v/>
      </c>
      <c r="P365">
        <f>IF($O365&gt;=20,"Critical",IF($O365&gt;=15,"High",IF($O365&gt;=10,"Medium",IF($O365&gt;=5,"Low",IF($O365&gt;0,"Very Low","")))))</f>
        <v/>
      </c>
      <c r="S365" s="5" t="n"/>
      <c r="V365" s="5" t="n"/>
      <c r="W365" s="6" t="n"/>
      <c r="X365" s="6" t="n"/>
      <c r="Z365" s="5" t="n"/>
    </row>
    <row r="366">
      <c r="D366" s="5" t="n"/>
      <c r="E366" s="5" t="n"/>
      <c r="F366" s="5" t="n"/>
      <c r="I366">
        <f>VALUE(LEFT($G366,1))*VALUE(LEFT($H366,1))</f>
        <v/>
      </c>
      <c r="J366">
        <f>IF($I366&gt;=20,"Critical",IF($I366&gt;=15,"High",IF($I366&gt;=10,"Medium",IF($I366&gt;=5,"Low",IF($I366&gt;0,"Very Low","")))))</f>
        <v/>
      </c>
      <c r="K366" s="5" t="n"/>
      <c r="O366">
        <f>VALUE(LEFT($M366,1))*VALUE(LEFT($N366,1))</f>
        <v/>
      </c>
      <c r="P366">
        <f>IF($O366&gt;=20,"Critical",IF($O366&gt;=15,"High",IF($O366&gt;=10,"Medium",IF($O366&gt;=5,"Low",IF($O366&gt;0,"Very Low","")))))</f>
        <v/>
      </c>
      <c r="S366" s="5" t="n"/>
      <c r="V366" s="5" t="n"/>
      <c r="W366" s="6" t="n"/>
      <c r="X366" s="6" t="n"/>
      <c r="Z366" s="5" t="n"/>
    </row>
    <row r="367">
      <c r="D367" s="5" t="n"/>
      <c r="E367" s="5" t="n"/>
      <c r="F367" s="5" t="n"/>
      <c r="I367">
        <f>VALUE(LEFT($G367,1))*VALUE(LEFT($H367,1))</f>
        <v/>
      </c>
      <c r="J367">
        <f>IF($I367&gt;=20,"Critical",IF($I367&gt;=15,"High",IF($I367&gt;=10,"Medium",IF($I367&gt;=5,"Low",IF($I367&gt;0,"Very Low","")))))</f>
        <v/>
      </c>
      <c r="K367" s="5" t="n"/>
      <c r="O367">
        <f>VALUE(LEFT($M367,1))*VALUE(LEFT($N367,1))</f>
        <v/>
      </c>
      <c r="P367">
        <f>IF($O367&gt;=20,"Critical",IF($O367&gt;=15,"High",IF($O367&gt;=10,"Medium",IF($O367&gt;=5,"Low",IF($O367&gt;0,"Very Low","")))))</f>
        <v/>
      </c>
      <c r="S367" s="5" t="n"/>
      <c r="V367" s="5" t="n"/>
      <c r="W367" s="6" t="n"/>
      <c r="X367" s="6" t="n"/>
      <c r="Z367" s="5" t="n"/>
    </row>
    <row r="368">
      <c r="D368" s="5" t="n"/>
      <c r="E368" s="5" t="n"/>
      <c r="F368" s="5" t="n"/>
      <c r="I368">
        <f>VALUE(LEFT($G368,1))*VALUE(LEFT($H368,1))</f>
        <v/>
      </c>
      <c r="J368">
        <f>IF($I368&gt;=20,"Critical",IF($I368&gt;=15,"High",IF($I368&gt;=10,"Medium",IF($I368&gt;=5,"Low",IF($I368&gt;0,"Very Low","")))))</f>
        <v/>
      </c>
      <c r="K368" s="5" t="n"/>
      <c r="O368">
        <f>VALUE(LEFT($M368,1))*VALUE(LEFT($N368,1))</f>
        <v/>
      </c>
      <c r="P368">
        <f>IF($O368&gt;=20,"Critical",IF($O368&gt;=15,"High",IF($O368&gt;=10,"Medium",IF($O368&gt;=5,"Low",IF($O368&gt;0,"Very Low","")))))</f>
        <v/>
      </c>
      <c r="S368" s="5" t="n"/>
      <c r="V368" s="5" t="n"/>
      <c r="W368" s="6" t="n"/>
      <c r="X368" s="6" t="n"/>
      <c r="Z368" s="5" t="n"/>
    </row>
    <row r="369">
      <c r="D369" s="5" t="n"/>
      <c r="E369" s="5" t="n"/>
      <c r="F369" s="5" t="n"/>
      <c r="I369">
        <f>VALUE(LEFT($G369,1))*VALUE(LEFT($H369,1))</f>
        <v/>
      </c>
      <c r="J369">
        <f>IF($I369&gt;=20,"Critical",IF($I369&gt;=15,"High",IF($I369&gt;=10,"Medium",IF($I369&gt;=5,"Low",IF($I369&gt;0,"Very Low","")))))</f>
        <v/>
      </c>
      <c r="K369" s="5" t="n"/>
      <c r="O369">
        <f>VALUE(LEFT($M369,1))*VALUE(LEFT($N369,1))</f>
        <v/>
      </c>
      <c r="P369">
        <f>IF($O369&gt;=20,"Critical",IF($O369&gt;=15,"High",IF($O369&gt;=10,"Medium",IF($O369&gt;=5,"Low",IF($O369&gt;0,"Very Low","")))))</f>
        <v/>
      </c>
      <c r="S369" s="5" t="n"/>
      <c r="V369" s="5" t="n"/>
      <c r="W369" s="6" t="n"/>
      <c r="X369" s="6" t="n"/>
      <c r="Z369" s="5" t="n"/>
    </row>
    <row r="370">
      <c r="D370" s="5" t="n"/>
      <c r="E370" s="5" t="n"/>
      <c r="F370" s="5" t="n"/>
      <c r="I370">
        <f>VALUE(LEFT($G370,1))*VALUE(LEFT($H370,1))</f>
        <v/>
      </c>
      <c r="J370">
        <f>IF($I370&gt;=20,"Critical",IF($I370&gt;=15,"High",IF($I370&gt;=10,"Medium",IF($I370&gt;=5,"Low",IF($I370&gt;0,"Very Low","")))))</f>
        <v/>
      </c>
      <c r="K370" s="5" t="n"/>
      <c r="O370">
        <f>VALUE(LEFT($M370,1))*VALUE(LEFT($N370,1))</f>
        <v/>
      </c>
      <c r="P370">
        <f>IF($O370&gt;=20,"Critical",IF($O370&gt;=15,"High",IF($O370&gt;=10,"Medium",IF($O370&gt;=5,"Low",IF($O370&gt;0,"Very Low","")))))</f>
        <v/>
      </c>
      <c r="S370" s="5" t="n"/>
      <c r="V370" s="5" t="n"/>
      <c r="W370" s="6" t="n"/>
      <c r="X370" s="6" t="n"/>
      <c r="Z370" s="5" t="n"/>
    </row>
    <row r="371">
      <c r="D371" s="5" t="n"/>
      <c r="E371" s="5" t="n"/>
      <c r="F371" s="5" t="n"/>
      <c r="I371">
        <f>VALUE(LEFT($G371,1))*VALUE(LEFT($H371,1))</f>
        <v/>
      </c>
      <c r="J371">
        <f>IF($I371&gt;=20,"Critical",IF($I371&gt;=15,"High",IF($I371&gt;=10,"Medium",IF($I371&gt;=5,"Low",IF($I371&gt;0,"Very Low","")))))</f>
        <v/>
      </c>
      <c r="K371" s="5" t="n"/>
      <c r="O371">
        <f>VALUE(LEFT($M371,1))*VALUE(LEFT($N371,1))</f>
        <v/>
      </c>
      <c r="P371">
        <f>IF($O371&gt;=20,"Critical",IF($O371&gt;=15,"High",IF($O371&gt;=10,"Medium",IF($O371&gt;=5,"Low",IF($O371&gt;0,"Very Low","")))))</f>
        <v/>
      </c>
      <c r="S371" s="5" t="n"/>
      <c r="V371" s="5" t="n"/>
      <c r="W371" s="6" t="n"/>
      <c r="X371" s="6" t="n"/>
      <c r="Z371" s="5" t="n"/>
    </row>
    <row r="372">
      <c r="D372" s="5" t="n"/>
      <c r="E372" s="5" t="n"/>
      <c r="F372" s="5" t="n"/>
      <c r="I372">
        <f>VALUE(LEFT($G372,1))*VALUE(LEFT($H372,1))</f>
        <v/>
      </c>
      <c r="J372">
        <f>IF($I372&gt;=20,"Critical",IF($I372&gt;=15,"High",IF($I372&gt;=10,"Medium",IF($I372&gt;=5,"Low",IF($I372&gt;0,"Very Low","")))))</f>
        <v/>
      </c>
      <c r="K372" s="5" t="n"/>
      <c r="O372">
        <f>VALUE(LEFT($M372,1))*VALUE(LEFT($N372,1))</f>
        <v/>
      </c>
      <c r="P372">
        <f>IF($O372&gt;=20,"Critical",IF($O372&gt;=15,"High",IF($O372&gt;=10,"Medium",IF($O372&gt;=5,"Low",IF($O372&gt;0,"Very Low","")))))</f>
        <v/>
      </c>
      <c r="S372" s="5" t="n"/>
      <c r="V372" s="5" t="n"/>
      <c r="W372" s="6" t="n"/>
      <c r="X372" s="6" t="n"/>
      <c r="Z372" s="5" t="n"/>
    </row>
    <row r="373">
      <c r="D373" s="5" t="n"/>
      <c r="E373" s="5" t="n"/>
      <c r="F373" s="5" t="n"/>
      <c r="I373">
        <f>VALUE(LEFT($G373,1))*VALUE(LEFT($H373,1))</f>
        <v/>
      </c>
      <c r="J373">
        <f>IF($I373&gt;=20,"Critical",IF($I373&gt;=15,"High",IF($I373&gt;=10,"Medium",IF($I373&gt;=5,"Low",IF($I373&gt;0,"Very Low","")))))</f>
        <v/>
      </c>
      <c r="K373" s="5" t="n"/>
      <c r="O373">
        <f>VALUE(LEFT($M373,1))*VALUE(LEFT($N373,1))</f>
        <v/>
      </c>
      <c r="P373">
        <f>IF($O373&gt;=20,"Critical",IF($O373&gt;=15,"High",IF($O373&gt;=10,"Medium",IF($O373&gt;=5,"Low",IF($O373&gt;0,"Very Low","")))))</f>
        <v/>
      </c>
      <c r="S373" s="5" t="n"/>
      <c r="V373" s="5" t="n"/>
      <c r="W373" s="6" t="n"/>
      <c r="X373" s="6" t="n"/>
      <c r="Z373" s="5" t="n"/>
    </row>
    <row r="374">
      <c r="D374" s="5" t="n"/>
      <c r="E374" s="5" t="n"/>
      <c r="F374" s="5" t="n"/>
      <c r="I374">
        <f>VALUE(LEFT($G374,1))*VALUE(LEFT($H374,1))</f>
        <v/>
      </c>
      <c r="J374">
        <f>IF($I374&gt;=20,"Critical",IF($I374&gt;=15,"High",IF($I374&gt;=10,"Medium",IF($I374&gt;=5,"Low",IF($I374&gt;0,"Very Low","")))))</f>
        <v/>
      </c>
      <c r="K374" s="5" t="n"/>
      <c r="O374">
        <f>VALUE(LEFT($M374,1))*VALUE(LEFT($N374,1))</f>
        <v/>
      </c>
      <c r="P374">
        <f>IF($O374&gt;=20,"Critical",IF($O374&gt;=15,"High",IF($O374&gt;=10,"Medium",IF($O374&gt;=5,"Low",IF($O374&gt;0,"Very Low","")))))</f>
        <v/>
      </c>
      <c r="S374" s="5" t="n"/>
      <c r="V374" s="5" t="n"/>
      <c r="W374" s="6" t="n"/>
      <c r="X374" s="6" t="n"/>
      <c r="Z374" s="5" t="n"/>
    </row>
    <row r="375">
      <c r="D375" s="5" t="n"/>
      <c r="E375" s="5" t="n"/>
      <c r="F375" s="5" t="n"/>
      <c r="I375">
        <f>VALUE(LEFT($G375,1))*VALUE(LEFT($H375,1))</f>
        <v/>
      </c>
      <c r="J375">
        <f>IF($I375&gt;=20,"Critical",IF($I375&gt;=15,"High",IF($I375&gt;=10,"Medium",IF($I375&gt;=5,"Low",IF($I375&gt;0,"Very Low","")))))</f>
        <v/>
      </c>
      <c r="K375" s="5" t="n"/>
      <c r="O375">
        <f>VALUE(LEFT($M375,1))*VALUE(LEFT($N375,1))</f>
        <v/>
      </c>
      <c r="P375">
        <f>IF($O375&gt;=20,"Critical",IF($O375&gt;=15,"High",IF($O375&gt;=10,"Medium",IF($O375&gt;=5,"Low",IF($O375&gt;0,"Very Low","")))))</f>
        <v/>
      </c>
      <c r="S375" s="5" t="n"/>
      <c r="V375" s="5" t="n"/>
      <c r="W375" s="6" t="n"/>
      <c r="X375" s="6" t="n"/>
      <c r="Z375" s="5" t="n"/>
    </row>
    <row r="376">
      <c r="D376" s="5" t="n"/>
      <c r="E376" s="5" t="n"/>
      <c r="F376" s="5" t="n"/>
      <c r="I376">
        <f>VALUE(LEFT($G376,1))*VALUE(LEFT($H376,1))</f>
        <v/>
      </c>
      <c r="J376">
        <f>IF($I376&gt;=20,"Critical",IF($I376&gt;=15,"High",IF($I376&gt;=10,"Medium",IF($I376&gt;=5,"Low",IF($I376&gt;0,"Very Low","")))))</f>
        <v/>
      </c>
      <c r="K376" s="5" t="n"/>
      <c r="O376">
        <f>VALUE(LEFT($M376,1))*VALUE(LEFT($N376,1))</f>
        <v/>
      </c>
      <c r="P376">
        <f>IF($O376&gt;=20,"Critical",IF($O376&gt;=15,"High",IF($O376&gt;=10,"Medium",IF($O376&gt;=5,"Low",IF($O376&gt;0,"Very Low","")))))</f>
        <v/>
      </c>
      <c r="S376" s="5" t="n"/>
      <c r="V376" s="5" t="n"/>
      <c r="W376" s="6" t="n"/>
      <c r="X376" s="6" t="n"/>
      <c r="Z376" s="5" t="n"/>
    </row>
    <row r="377">
      <c r="D377" s="5" t="n"/>
      <c r="E377" s="5" t="n"/>
      <c r="F377" s="5" t="n"/>
      <c r="I377">
        <f>VALUE(LEFT($G377,1))*VALUE(LEFT($H377,1))</f>
        <v/>
      </c>
      <c r="J377">
        <f>IF($I377&gt;=20,"Critical",IF($I377&gt;=15,"High",IF($I377&gt;=10,"Medium",IF($I377&gt;=5,"Low",IF($I377&gt;0,"Very Low","")))))</f>
        <v/>
      </c>
      <c r="K377" s="5" t="n"/>
      <c r="O377">
        <f>VALUE(LEFT($M377,1))*VALUE(LEFT($N377,1))</f>
        <v/>
      </c>
      <c r="P377">
        <f>IF($O377&gt;=20,"Critical",IF($O377&gt;=15,"High",IF($O377&gt;=10,"Medium",IF($O377&gt;=5,"Low",IF($O377&gt;0,"Very Low","")))))</f>
        <v/>
      </c>
      <c r="S377" s="5" t="n"/>
      <c r="V377" s="5" t="n"/>
      <c r="W377" s="6" t="n"/>
      <c r="X377" s="6" t="n"/>
      <c r="Z377" s="5" t="n"/>
    </row>
    <row r="378">
      <c r="D378" s="5" t="n"/>
      <c r="E378" s="5" t="n"/>
      <c r="F378" s="5" t="n"/>
      <c r="I378">
        <f>VALUE(LEFT($G378,1))*VALUE(LEFT($H378,1))</f>
        <v/>
      </c>
      <c r="J378">
        <f>IF($I378&gt;=20,"Critical",IF($I378&gt;=15,"High",IF($I378&gt;=10,"Medium",IF($I378&gt;=5,"Low",IF($I378&gt;0,"Very Low","")))))</f>
        <v/>
      </c>
      <c r="K378" s="5" t="n"/>
      <c r="O378">
        <f>VALUE(LEFT($M378,1))*VALUE(LEFT($N378,1))</f>
        <v/>
      </c>
      <c r="P378">
        <f>IF($O378&gt;=20,"Critical",IF($O378&gt;=15,"High",IF($O378&gt;=10,"Medium",IF($O378&gt;=5,"Low",IF($O378&gt;0,"Very Low","")))))</f>
        <v/>
      </c>
      <c r="S378" s="5" t="n"/>
      <c r="V378" s="5" t="n"/>
      <c r="W378" s="6" t="n"/>
      <c r="X378" s="6" t="n"/>
      <c r="Z378" s="5" t="n"/>
    </row>
    <row r="379">
      <c r="D379" s="5" t="n"/>
      <c r="E379" s="5" t="n"/>
      <c r="F379" s="5" t="n"/>
      <c r="I379">
        <f>VALUE(LEFT($G379,1))*VALUE(LEFT($H379,1))</f>
        <v/>
      </c>
      <c r="J379">
        <f>IF($I379&gt;=20,"Critical",IF($I379&gt;=15,"High",IF($I379&gt;=10,"Medium",IF($I379&gt;=5,"Low",IF($I379&gt;0,"Very Low","")))))</f>
        <v/>
      </c>
      <c r="K379" s="5" t="n"/>
      <c r="O379">
        <f>VALUE(LEFT($M379,1))*VALUE(LEFT($N379,1))</f>
        <v/>
      </c>
      <c r="P379">
        <f>IF($O379&gt;=20,"Critical",IF($O379&gt;=15,"High",IF($O379&gt;=10,"Medium",IF($O379&gt;=5,"Low",IF($O379&gt;0,"Very Low","")))))</f>
        <v/>
      </c>
      <c r="S379" s="5" t="n"/>
      <c r="V379" s="5" t="n"/>
      <c r="W379" s="6" t="n"/>
      <c r="X379" s="6" t="n"/>
      <c r="Z379" s="5" t="n"/>
    </row>
    <row r="380">
      <c r="D380" s="5" t="n"/>
      <c r="E380" s="5" t="n"/>
      <c r="F380" s="5" t="n"/>
      <c r="I380">
        <f>VALUE(LEFT($G380,1))*VALUE(LEFT($H380,1))</f>
        <v/>
      </c>
      <c r="J380">
        <f>IF($I380&gt;=20,"Critical",IF($I380&gt;=15,"High",IF($I380&gt;=10,"Medium",IF($I380&gt;=5,"Low",IF($I380&gt;0,"Very Low","")))))</f>
        <v/>
      </c>
      <c r="K380" s="5" t="n"/>
      <c r="O380">
        <f>VALUE(LEFT($M380,1))*VALUE(LEFT($N380,1))</f>
        <v/>
      </c>
      <c r="P380">
        <f>IF($O380&gt;=20,"Critical",IF($O380&gt;=15,"High",IF($O380&gt;=10,"Medium",IF($O380&gt;=5,"Low",IF($O380&gt;0,"Very Low","")))))</f>
        <v/>
      </c>
      <c r="S380" s="5" t="n"/>
      <c r="V380" s="5" t="n"/>
      <c r="W380" s="6" t="n"/>
      <c r="X380" s="6" t="n"/>
      <c r="Z380" s="5" t="n"/>
    </row>
    <row r="381">
      <c r="D381" s="5" t="n"/>
      <c r="E381" s="5" t="n"/>
      <c r="F381" s="5" t="n"/>
      <c r="I381">
        <f>VALUE(LEFT($G381,1))*VALUE(LEFT($H381,1))</f>
        <v/>
      </c>
      <c r="J381">
        <f>IF($I381&gt;=20,"Critical",IF($I381&gt;=15,"High",IF($I381&gt;=10,"Medium",IF($I381&gt;=5,"Low",IF($I381&gt;0,"Very Low","")))))</f>
        <v/>
      </c>
      <c r="K381" s="5" t="n"/>
      <c r="O381">
        <f>VALUE(LEFT($M381,1))*VALUE(LEFT($N381,1))</f>
        <v/>
      </c>
      <c r="P381">
        <f>IF($O381&gt;=20,"Critical",IF($O381&gt;=15,"High",IF($O381&gt;=10,"Medium",IF($O381&gt;=5,"Low",IF($O381&gt;0,"Very Low","")))))</f>
        <v/>
      </c>
      <c r="S381" s="5" t="n"/>
      <c r="V381" s="5" t="n"/>
      <c r="W381" s="6" t="n"/>
      <c r="X381" s="6" t="n"/>
      <c r="Z381" s="5" t="n"/>
    </row>
    <row r="382">
      <c r="D382" s="5" t="n"/>
      <c r="E382" s="5" t="n"/>
      <c r="F382" s="5" t="n"/>
      <c r="I382">
        <f>VALUE(LEFT($G382,1))*VALUE(LEFT($H382,1))</f>
        <v/>
      </c>
      <c r="J382">
        <f>IF($I382&gt;=20,"Critical",IF($I382&gt;=15,"High",IF($I382&gt;=10,"Medium",IF($I382&gt;=5,"Low",IF($I382&gt;0,"Very Low","")))))</f>
        <v/>
      </c>
      <c r="K382" s="5" t="n"/>
      <c r="O382">
        <f>VALUE(LEFT($M382,1))*VALUE(LEFT($N382,1))</f>
        <v/>
      </c>
      <c r="P382">
        <f>IF($O382&gt;=20,"Critical",IF($O382&gt;=15,"High",IF($O382&gt;=10,"Medium",IF($O382&gt;=5,"Low",IF($O382&gt;0,"Very Low","")))))</f>
        <v/>
      </c>
      <c r="S382" s="5" t="n"/>
      <c r="V382" s="5" t="n"/>
      <c r="W382" s="6" t="n"/>
      <c r="X382" s="6" t="n"/>
      <c r="Z382" s="5" t="n"/>
    </row>
    <row r="383">
      <c r="D383" s="5" t="n"/>
      <c r="E383" s="5" t="n"/>
      <c r="F383" s="5" t="n"/>
      <c r="I383">
        <f>VALUE(LEFT($G383,1))*VALUE(LEFT($H383,1))</f>
        <v/>
      </c>
      <c r="J383">
        <f>IF($I383&gt;=20,"Critical",IF($I383&gt;=15,"High",IF($I383&gt;=10,"Medium",IF($I383&gt;=5,"Low",IF($I383&gt;0,"Very Low","")))))</f>
        <v/>
      </c>
      <c r="K383" s="5" t="n"/>
      <c r="O383">
        <f>VALUE(LEFT($M383,1))*VALUE(LEFT($N383,1))</f>
        <v/>
      </c>
      <c r="P383">
        <f>IF($O383&gt;=20,"Critical",IF($O383&gt;=15,"High",IF($O383&gt;=10,"Medium",IF($O383&gt;=5,"Low",IF($O383&gt;0,"Very Low","")))))</f>
        <v/>
      </c>
      <c r="S383" s="5" t="n"/>
      <c r="V383" s="5" t="n"/>
      <c r="W383" s="6" t="n"/>
      <c r="X383" s="6" t="n"/>
      <c r="Z383" s="5" t="n"/>
    </row>
    <row r="384">
      <c r="D384" s="5" t="n"/>
      <c r="E384" s="5" t="n"/>
      <c r="F384" s="5" t="n"/>
      <c r="I384">
        <f>VALUE(LEFT($G384,1))*VALUE(LEFT($H384,1))</f>
        <v/>
      </c>
      <c r="J384">
        <f>IF($I384&gt;=20,"Critical",IF($I384&gt;=15,"High",IF($I384&gt;=10,"Medium",IF($I384&gt;=5,"Low",IF($I384&gt;0,"Very Low","")))))</f>
        <v/>
      </c>
      <c r="K384" s="5" t="n"/>
      <c r="O384">
        <f>VALUE(LEFT($M384,1))*VALUE(LEFT($N384,1))</f>
        <v/>
      </c>
      <c r="P384">
        <f>IF($O384&gt;=20,"Critical",IF($O384&gt;=15,"High",IF($O384&gt;=10,"Medium",IF($O384&gt;=5,"Low",IF($O384&gt;0,"Very Low","")))))</f>
        <v/>
      </c>
      <c r="S384" s="5" t="n"/>
      <c r="V384" s="5" t="n"/>
      <c r="W384" s="6" t="n"/>
      <c r="X384" s="6" t="n"/>
      <c r="Z384" s="5" t="n"/>
    </row>
    <row r="385">
      <c r="D385" s="5" t="n"/>
      <c r="E385" s="5" t="n"/>
      <c r="F385" s="5" t="n"/>
      <c r="I385">
        <f>VALUE(LEFT($G385,1))*VALUE(LEFT($H385,1))</f>
        <v/>
      </c>
      <c r="J385">
        <f>IF($I385&gt;=20,"Critical",IF($I385&gt;=15,"High",IF($I385&gt;=10,"Medium",IF($I385&gt;=5,"Low",IF($I385&gt;0,"Very Low","")))))</f>
        <v/>
      </c>
      <c r="K385" s="5" t="n"/>
      <c r="O385">
        <f>VALUE(LEFT($M385,1))*VALUE(LEFT($N385,1))</f>
        <v/>
      </c>
      <c r="P385">
        <f>IF($O385&gt;=20,"Critical",IF($O385&gt;=15,"High",IF($O385&gt;=10,"Medium",IF($O385&gt;=5,"Low",IF($O385&gt;0,"Very Low","")))))</f>
        <v/>
      </c>
      <c r="S385" s="5" t="n"/>
      <c r="V385" s="5" t="n"/>
      <c r="W385" s="6" t="n"/>
      <c r="X385" s="6" t="n"/>
      <c r="Z385" s="5" t="n"/>
    </row>
    <row r="386">
      <c r="D386" s="5" t="n"/>
      <c r="E386" s="5" t="n"/>
      <c r="F386" s="5" t="n"/>
      <c r="I386">
        <f>VALUE(LEFT($G386,1))*VALUE(LEFT($H386,1))</f>
        <v/>
      </c>
      <c r="J386">
        <f>IF($I386&gt;=20,"Critical",IF($I386&gt;=15,"High",IF($I386&gt;=10,"Medium",IF($I386&gt;=5,"Low",IF($I386&gt;0,"Very Low","")))))</f>
        <v/>
      </c>
      <c r="K386" s="5" t="n"/>
      <c r="O386">
        <f>VALUE(LEFT($M386,1))*VALUE(LEFT($N386,1))</f>
        <v/>
      </c>
      <c r="P386">
        <f>IF($O386&gt;=20,"Critical",IF($O386&gt;=15,"High",IF($O386&gt;=10,"Medium",IF($O386&gt;=5,"Low",IF($O386&gt;0,"Very Low","")))))</f>
        <v/>
      </c>
      <c r="S386" s="5" t="n"/>
      <c r="V386" s="5" t="n"/>
      <c r="W386" s="6" t="n"/>
      <c r="X386" s="6" t="n"/>
      <c r="Z386" s="5" t="n"/>
    </row>
    <row r="387">
      <c r="D387" s="5" t="n"/>
      <c r="E387" s="5" t="n"/>
      <c r="F387" s="5" t="n"/>
      <c r="I387">
        <f>VALUE(LEFT($G387,1))*VALUE(LEFT($H387,1))</f>
        <v/>
      </c>
      <c r="J387">
        <f>IF($I387&gt;=20,"Critical",IF($I387&gt;=15,"High",IF($I387&gt;=10,"Medium",IF($I387&gt;=5,"Low",IF($I387&gt;0,"Very Low","")))))</f>
        <v/>
      </c>
      <c r="K387" s="5" t="n"/>
      <c r="O387">
        <f>VALUE(LEFT($M387,1))*VALUE(LEFT($N387,1))</f>
        <v/>
      </c>
      <c r="P387">
        <f>IF($O387&gt;=20,"Critical",IF($O387&gt;=15,"High",IF($O387&gt;=10,"Medium",IF($O387&gt;=5,"Low",IF($O387&gt;0,"Very Low","")))))</f>
        <v/>
      </c>
      <c r="S387" s="5" t="n"/>
      <c r="V387" s="5" t="n"/>
      <c r="W387" s="6" t="n"/>
      <c r="X387" s="6" t="n"/>
      <c r="Z387" s="5" t="n"/>
    </row>
    <row r="388">
      <c r="D388" s="5" t="n"/>
      <c r="E388" s="5" t="n"/>
      <c r="F388" s="5" t="n"/>
      <c r="I388">
        <f>VALUE(LEFT($G388,1))*VALUE(LEFT($H388,1))</f>
        <v/>
      </c>
      <c r="J388">
        <f>IF($I388&gt;=20,"Critical",IF($I388&gt;=15,"High",IF($I388&gt;=10,"Medium",IF($I388&gt;=5,"Low",IF($I388&gt;0,"Very Low","")))))</f>
        <v/>
      </c>
      <c r="K388" s="5" t="n"/>
      <c r="O388">
        <f>VALUE(LEFT($M388,1))*VALUE(LEFT($N388,1))</f>
        <v/>
      </c>
      <c r="P388">
        <f>IF($O388&gt;=20,"Critical",IF($O388&gt;=15,"High",IF($O388&gt;=10,"Medium",IF($O388&gt;=5,"Low",IF($O388&gt;0,"Very Low","")))))</f>
        <v/>
      </c>
      <c r="S388" s="5" t="n"/>
      <c r="V388" s="5" t="n"/>
      <c r="W388" s="6" t="n"/>
      <c r="X388" s="6" t="n"/>
      <c r="Z388" s="5" t="n"/>
    </row>
    <row r="389">
      <c r="D389" s="5" t="n"/>
      <c r="E389" s="5" t="n"/>
      <c r="F389" s="5" t="n"/>
      <c r="I389">
        <f>VALUE(LEFT($G389,1))*VALUE(LEFT($H389,1))</f>
        <v/>
      </c>
      <c r="J389">
        <f>IF($I389&gt;=20,"Critical",IF($I389&gt;=15,"High",IF($I389&gt;=10,"Medium",IF($I389&gt;=5,"Low",IF($I389&gt;0,"Very Low","")))))</f>
        <v/>
      </c>
      <c r="K389" s="5" t="n"/>
      <c r="O389">
        <f>VALUE(LEFT($M389,1))*VALUE(LEFT($N389,1))</f>
        <v/>
      </c>
      <c r="P389">
        <f>IF($O389&gt;=20,"Critical",IF($O389&gt;=15,"High",IF($O389&gt;=10,"Medium",IF($O389&gt;=5,"Low",IF($O389&gt;0,"Very Low","")))))</f>
        <v/>
      </c>
      <c r="S389" s="5" t="n"/>
      <c r="V389" s="5" t="n"/>
      <c r="W389" s="6" t="n"/>
      <c r="X389" s="6" t="n"/>
      <c r="Z389" s="5" t="n"/>
    </row>
    <row r="390">
      <c r="D390" s="5" t="n"/>
      <c r="E390" s="5" t="n"/>
      <c r="F390" s="5" t="n"/>
      <c r="I390">
        <f>VALUE(LEFT($G390,1))*VALUE(LEFT($H390,1))</f>
        <v/>
      </c>
      <c r="J390">
        <f>IF($I390&gt;=20,"Critical",IF($I390&gt;=15,"High",IF($I390&gt;=10,"Medium",IF($I390&gt;=5,"Low",IF($I390&gt;0,"Very Low","")))))</f>
        <v/>
      </c>
      <c r="K390" s="5" t="n"/>
      <c r="O390">
        <f>VALUE(LEFT($M390,1))*VALUE(LEFT($N390,1))</f>
        <v/>
      </c>
      <c r="P390">
        <f>IF($O390&gt;=20,"Critical",IF($O390&gt;=15,"High",IF($O390&gt;=10,"Medium",IF($O390&gt;=5,"Low",IF($O390&gt;0,"Very Low","")))))</f>
        <v/>
      </c>
      <c r="S390" s="5" t="n"/>
      <c r="V390" s="5" t="n"/>
      <c r="W390" s="6" t="n"/>
      <c r="X390" s="6" t="n"/>
      <c r="Z390" s="5" t="n"/>
    </row>
    <row r="391">
      <c r="D391" s="5" t="n"/>
      <c r="E391" s="5" t="n"/>
      <c r="F391" s="5" t="n"/>
      <c r="I391">
        <f>VALUE(LEFT($G391,1))*VALUE(LEFT($H391,1))</f>
        <v/>
      </c>
      <c r="J391">
        <f>IF($I391&gt;=20,"Critical",IF($I391&gt;=15,"High",IF($I391&gt;=10,"Medium",IF($I391&gt;=5,"Low",IF($I391&gt;0,"Very Low","")))))</f>
        <v/>
      </c>
      <c r="K391" s="5" t="n"/>
      <c r="O391">
        <f>VALUE(LEFT($M391,1))*VALUE(LEFT($N391,1))</f>
        <v/>
      </c>
      <c r="P391">
        <f>IF($O391&gt;=20,"Critical",IF($O391&gt;=15,"High",IF($O391&gt;=10,"Medium",IF($O391&gt;=5,"Low",IF($O391&gt;0,"Very Low","")))))</f>
        <v/>
      </c>
      <c r="S391" s="5" t="n"/>
      <c r="V391" s="5" t="n"/>
      <c r="W391" s="6" t="n"/>
      <c r="X391" s="6" t="n"/>
      <c r="Z391" s="5" t="n"/>
    </row>
    <row r="392">
      <c r="D392" s="5" t="n"/>
      <c r="E392" s="5" t="n"/>
      <c r="F392" s="5" t="n"/>
      <c r="I392">
        <f>VALUE(LEFT($G392,1))*VALUE(LEFT($H392,1))</f>
        <v/>
      </c>
      <c r="J392">
        <f>IF($I392&gt;=20,"Critical",IF($I392&gt;=15,"High",IF($I392&gt;=10,"Medium",IF($I392&gt;=5,"Low",IF($I392&gt;0,"Very Low","")))))</f>
        <v/>
      </c>
      <c r="K392" s="5" t="n"/>
      <c r="O392">
        <f>VALUE(LEFT($M392,1))*VALUE(LEFT($N392,1))</f>
        <v/>
      </c>
      <c r="P392">
        <f>IF($O392&gt;=20,"Critical",IF($O392&gt;=15,"High",IF($O392&gt;=10,"Medium",IF($O392&gt;=5,"Low",IF($O392&gt;0,"Very Low","")))))</f>
        <v/>
      </c>
      <c r="S392" s="5" t="n"/>
      <c r="V392" s="5" t="n"/>
      <c r="W392" s="6" t="n"/>
      <c r="X392" s="6" t="n"/>
      <c r="Z392" s="5" t="n"/>
    </row>
    <row r="393">
      <c r="D393" s="5" t="n"/>
      <c r="E393" s="5" t="n"/>
      <c r="F393" s="5" t="n"/>
      <c r="I393">
        <f>VALUE(LEFT($G393,1))*VALUE(LEFT($H393,1))</f>
        <v/>
      </c>
      <c r="J393">
        <f>IF($I393&gt;=20,"Critical",IF($I393&gt;=15,"High",IF($I393&gt;=10,"Medium",IF($I393&gt;=5,"Low",IF($I393&gt;0,"Very Low","")))))</f>
        <v/>
      </c>
      <c r="K393" s="5" t="n"/>
      <c r="O393">
        <f>VALUE(LEFT($M393,1))*VALUE(LEFT($N393,1))</f>
        <v/>
      </c>
      <c r="P393">
        <f>IF($O393&gt;=20,"Critical",IF($O393&gt;=15,"High",IF($O393&gt;=10,"Medium",IF($O393&gt;=5,"Low",IF($O393&gt;0,"Very Low","")))))</f>
        <v/>
      </c>
      <c r="S393" s="5" t="n"/>
      <c r="V393" s="5" t="n"/>
      <c r="W393" s="6" t="n"/>
      <c r="X393" s="6" t="n"/>
      <c r="Z393" s="5" t="n"/>
    </row>
    <row r="394">
      <c r="D394" s="5" t="n"/>
      <c r="E394" s="5" t="n"/>
      <c r="F394" s="5" t="n"/>
      <c r="I394">
        <f>VALUE(LEFT($G394,1))*VALUE(LEFT($H394,1))</f>
        <v/>
      </c>
      <c r="J394">
        <f>IF($I394&gt;=20,"Critical",IF($I394&gt;=15,"High",IF($I394&gt;=10,"Medium",IF($I394&gt;=5,"Low",IF($I394&gt;0,"Very Low","")))))</f>
        <v/>
      </c>
      <c r="K394" s="5" t="n"/>
      <c r="O394">
        <f>VALUE(LEFT($M394,1))*VALUE(LEFT($N394,1))</f>
        <v/>
      </c>
      <c r="P394">
        <f>IF($O394&gt;=20,"Critical",IF($O394&gt;=15,"High",IF($O394&gt;=10,"Medium",IF($O394&gt;=5,"Low",IF($O394&gt;0,"Very Low","")))))</f>
        <v/>
      </c>
      <c r="S394" s="5" t="n"/>
      <c r="V394" s="5" t="n"/>
      <c r="W394" s="6" t="n"/>
      <c r="X394" s="6" t="n"/>
      <c r="Z394" s="5" t="n"/>
    </row>
    <row r="395">
      <c r="D395" s="5" t="n"/>
      <c r="E395" s="5" t="n"/>
      <c r="F395" s="5" t="n"/>
      <c r="I395">
        <f>VALUE(LEFT($G395,1))*VALUE(LEFT($H395,1))</f>
        <v/>
      </c>
      <c r="J395">
        <f>IF($I395&gt;=20,"Critical",IF($I395&gt;=15,"High",IF($I395&gt;=10,"Medium",IF($I395&gt;=5,"Low",IF($I395&gt;0,"Very Low","")))))</f>
        <v/>
      </c>
      <c r="K395" s="5" t="n"/>
      <c r="O395">
        <f>VALUE(LEFT($M395,1))*VALUE(LEFT($N395,1))</f>
        <v/>
      </c>
      <c r="P395">
        <f>IF($O395&gt;=20,"Critical",IF($O395&gt;=15,"High",IF($O395&gt;=10,"Medium",IF($O395&gt;=5,"Low",IF($O395&gt;0,"Very Low","")))))</f>
        <v/>
      </c>
      <c r="S395" s="5" t="n"/>
      <c r="V395" s="5" t="n"/>
      <c r="W395" s="6" t="n"/>
      <c r="X395" s="6" t="n"/>
      <c r="Z395" s="5" t="n"/>
    </row>
    <row r="396">
      <c r="D396" s="5" t="n"/>
      <c r="E396" s="5" t="n"/>
      <c r="F396" s="5" t="n"/>
      <c r="I396">
        <f>VALUE(LEFT($G396,1))*VALUE(LEFT($H396,1))</f>
        <v/>
      </c>
      <c r="J396">
        <f>IF($I396&gt;=20,"Critical",IF($I396&gt;=15,"High",IF($I396&gt;=10,"Medium",IF($I396&gt;=5,"Low",IF($I396&gt;0,"Very Low","")))))</f>
        <v/>
      </c>
      <c r="K396" s="5" t="n"/>
      <c r="O396">
        <f>VALUE(LEFT($M396,1))*VALUE(LEFT($N396,1))</f>
        <v/>
      </c>
      <c r="P396">
        <f>IF($O396&gt;=20,"Critical",IF($O396&gt;=15,"High",IF($O396&gt;=10,"Medium",IF($O396&gt;=5,"Low",IF($O396&gt;0,"Very Low","")))))</f>
        <v/>
      </c>
      <c r="S396" s="5" t="n"/>
      <c r="V396" s="5" t="n"/>
      <c r="W396" s="6" t="n"/>
      <c r="X396" s="6" t="n"/>
      <c r="Z396" s="5" t="n"/>
    </row>
    <row r="397">
      <c r="D397" s="5" t="n"/>
      <c r="E397" s="5" t="n"/>
      <c r="F397" s="5" t="n"/>
      <c r="I397">
        <f>VALUE(LEFT($G397,1))*VALUE(LEFT($H397,1))</f>
        <v/>
      </c>
      <c r="J397">
        <f>IF($I397&gt;=20,"Critical",IF($I397&gt;=15,"High",IF($I397&gt;=10,"Medium",IF($I397&gt;=5,"Low",IF($I397&gt;0,"Very Low","")))))</f>
        <v/>
      </c>
      <c r="K397" s="5" t="n"/>
      <c r="O397">
        <f>VALUE(LEFT($M397,1))*VALUE(LEFT($N397,1))</f>
        <v/>
      </c>
      <c r="P397">
        <f>IF($O397&gt;=20,"Critical",IF($O397&gt;=15,"High",IF($O397&gt;=10,"Medium",IF($O397&gt;=5,"Low",IF($O397&gt;0,"Very Low","")))))</f>
        <v/>
      </c>
      <c r="S397" s="5" t="n"/>
      <c r="V397" s="5" t="n"/>
      <c r="W397" s="6" t="n"/>
      <c r="X397" s="6" t="n"/>
      <c r="Z397" s="5" t="n"/>
    </row>
    <row r="398">
      <c r="D398" s="5" t="n"/>
      <c r="E398" s="5" t="n"/>
      <c r="F398" s="5" t="n"/>
      <c r="I398">
        <f>VALUE(LEFT($G398,1))*VALUE(LEFT($H398,1))</f>
        <v/>
      </c>
      <c r="J398">
        <f>IF($I398&gt;=20,"Critical",IF($I398&gt;=15,"High",IF($I398&gt;=10,"Medium",IF($I398&gt;=5,"Low",IF($I398&gt;0,"Very Low","")))))</f>
        <v/>
      </c>
      <c r="K398" s="5" t="n"/>
      <c r="O398">
        <f>VALUE(LEFT($M398,1))*VALUE(LEFT($N398,1))</f>
        <v/>
      </c>
      <c r="P398">
        <f>IF($O398&gt;=20,"Critical",IF($O398&gt;=15,"High",IF($O398&gt;=10,"Medium",IF($O398&gt;=5,"Low",IF($O398&gt;0,"Very Low","")))))</f>
        <v/>
      </c>
      <c r="S398" s="5" t="n"/>
      <c r="V398" s="5" t="n"/>
      <c r="W398" s="6" t="n"/>
      <c r="X398" s="6" t="n"/>
      <c r="Z398" s="5" t="n"/>
    </row>
    <row r="399">
      <c r="D399" s="5" t="n"/>
      <c r="E399" s="5" t="n"/>
      <c r="F399" s="5" t="n"/>
      <c r="I399">
        <f>VALUE(LEFT($G399,1))*VALUE(LEFT($H399,1))</f>
        <v/>
      </c>
      <c r="J399">
        <f>IF($I399&gt;=20,"Critical",IF($I399&gt;=15,"High",IF($I399&gt;=10,"Medium",IF($I399&gt;=5,"Low",IF($I399&gt;0,"Very Low","")))))</f>
        <v/>
      </c>
      <c r="K399" s="5" t="n"/>
      <c r="O399">
        <f>VALUE(LEFT($M399,1))*VALUE(LEFT($N399,1))</f>
        <v/>
      </c>
      <c r="P399">
        <f>IF($O399&gt;=20,"Critical",IF($O399&gt;=15,"High",IF($O399&gt;=10,"Medium",IF($O399&gt;=5,"Low",IF($O399&gt;0,"Very Low","")))))</f>
        <v/>
      </c>
      <c r="S399" s="5" t="n"/>
      <c r="V399" s="5" t="n"/>
      <c r="W399" s="6" t="n"/>
      <c r="X399" s="6" t="n"/>
      <c r="Z399" s="5" t="n"/>
    </row>
    <row r="400">
      <c r="D400" s="5" t="n"/>
      <c r="E400" s="5" t="n"/>
      <c r="F400" s="5" t="n"/>
      <c r="I400">
        <f>VALUE(LEFT($G400,1))*VALUE(LEFT($H400,1))</f>
        <v/>
      </c>
      <c r="J400">
        <f>IF($I400&gt;=20,"Critical",IF($I400&gt;=15,"High",IF($I400&gt;=10,"Medium",IF($I400&gt;=5,"Low",IF($I400&gt;0,"Very Low","")))))</f>
        <v/>
      </c>
      <c r="K400" s="5" t="n"/>
      <c r="O400">
        <f>VALUE(LEFT($M400,1))*VALUE(LEFT($N400,1))</f>
        <v/>
      </c>
      <c r="P400">
        <f>IF($O400&gt;=20,"Critical",IF($O400&gt;=15,"High",IF($O400&gt;=10,"Medium",IF($O400&gt;=5,"Low",IF($O400&gt;0,"Very Low","")))))</f>
        <v/>
      </c>
      <c r="S400" s="5" t="n"/>
      <c r="V400" s="5" t="n"/>
      <c r="W400" s="6" t="n"/>
      <c r="X400" s="6" t="n"/>
      <c r="Z400" s="5" t="n"/>
    </row>
    <row r="401">
      <c r="D401" s="5" t="n"/>
      <c r="E401" s="5" t="n"/>
      <c r="F401" s="5" t="n"/>
      <c r="I401">
        <f>VALUE(LEFT($G401,1))*VALUE(LEFT($H401,1))</f>
        <v/>
      </c>
      <c r="J401">
        <f>IF($I401&gt;=20,"Critical",IF($I401&gt;=15,"High",IF($I401&gt;=10,"Medium",IF($I401&gt;=5,"Low",IF($I401&gt;0,"Very Low","")))))</f>
        <v/>
      </c>
      <c r="K401" s="5" t="n"/>
      <c r="O401">
        <f>VALUE(LEFT($M401,1))*VALUE(LEFT($N401,1))</f>
        <v/>
      </c>
      <c r="P401">
        <f>IF($O401&gt;=20,"Critical",IF($O401&gt;=15,"High",IF($O401&gt;=10,"Medium",IF($O401&gt;=5,"Low",IF($O401&gt;0,"Very Low","")))))</f>
        <v/>
      </c>
      <c r="S401" s="5" t="n"/>
      <c r="V401" s="5" t="n"/>
      <c r="W401" s="6" t="n"/>
      <c r="X401" s="6" t="n"/>
      <c r="Z401" s="5" t="n"/>
    </row>
    <row r="402">
      <c r="D402" s="5" t="n"/>
      <c r="E402" s="5" t="n"/>
      <c r="F402" s="5" t="n"/>
      <c r="I402">
        <f>VALUE(LEFT($G402,1))*VALUE(LEFT($H402,1))</f>
        <v/>
      </c>
      <c r="J402">
        <f>IF($I402&gt;=20,"Critical",IF($I402&gt;=15,"High",IF($I402&gt;=10,"Medium",IF($I402&gt;=5,"Low",IF($I402&gt;0,"Very Low","")))))</f>
        <v/>
      </c>
      <c r="K402" s="5" t="n"/>
      <c r="O402">
        <f>VALUE(LEFT($M402,1))*VALUE(LEFT($N402,1))</f>
        <v/>
      </c>
      <c r="P402">
        <f>IF($O402&gt;=20,"Critical",IF($O402&gt;=15,"High",IF($O402&gt;=10,"Medium",IF($O402&gt;=5,"Low",IF($O402&gt;0,"Very Low","")))))</f>
        <v/>
      </c>
      <c r="S402" s="5" t="n"/>
      <c r="V402" s="5" t="n"/>
      <c r="W402" s="6" t="n"/>
      <c r="X402" s="6" t="n"/>
      <c r="Z402" s="5" t="n"/>
    </row>
    <row r="403">
      <c r="D403" s="5" t="n"/>
      <c r="E403" s="5" t="n"/>
      <c r="F403" s="5" t="n"/>
      <c r="I403">
        <f>VALUE(LEFT($G403,1))*VALUE(LEFT($H403,1))</f>
        <v/>
      </c>
      <c r="J403">
        <f>IF($I403&gt;=20,"Critical",IF($I403&gt;=15,"High",IF($I403&gt;=10,"Medium",IF($I403&gt;=5,"Low",IF($I403&gt;0,"Very Low","")))))</f>
        <v/>
      </c>
      <c r="K403" s="5" t="n"/>
      <c r="O403">
        <f>VALUE(LEFT($M403,1))*VALUE(LEFT($N403,1))</f>
        <v/>
      </c>
      <c r="P403">
        <f>IF($O403&gt;=20,"Critical",IF($O403&gt;=15,"High",IF($O403&gt;=10,"Medium",IF($O403&gt;=5,"Low",IF($O403&gt;0,"Very Low","")))))</f>
        <v/>
      </c>
      <c r="S403" s="5" t="n"/>
      <c r="V403" s="5" t="n"/>
      <c r="W403" s="6" t="n"/>
      <c r="X403" s="6" t="n"/>
      <c r="Z403" s="5" t="n"/>
    </row>
    <row r="404">
      <c r="D404" s="5" t="n"/>
      <c r="E404" s="5" t="n"/>
      <c r="F404" s="5" t="n"/>
      <c r="I404">
        <f>VALUE(LEFT($G404,1))*VALUE(LEFT($H404,1))</f>
        <v/>
      </c>
      <c r="J404">
        <f>IF($I404&gt;=20,"Critical",IF($I404&gt;=15,"High",IF($I404&gt;=10,"Medium",IF($I404&gt;=5,"Low",IF($I404&gt;0,"Very Low","")))))</f>
        <v/>
      </c>
      <c r="K404" s="5" t="n"/>
      <c r="O404">
        <f>VALUE(LEFT($M404,1))*VALUE(LEFT($N404,1))</f>
        <v/>
      </c>
      <c r="P404">
        <f>IF($O404&gt;=20,"Critical",IF($O404&gt;=15,"High",IF($O404&gt;=10,"Medium",IF($O404&gt;=5,"Low",IF($O404&gt;0,"Very Low","")))))</f>
        <v/>
      </c>
      <c r="S404" s="5" t="n"/>
      <c r="V404" s="5" t="n"/>
      <c r="W404" s="6" t="n"/>
      <c r="X404" s="6" t="n"/>
      <c r="Z404" s="5" t="n"/>
    </row>
    <row r="405">
      <c r="D405" s="5" t="n"/>
      <c r="E405" s="5" t="n"/>
      <c r="F405" s="5" t="n"/>
      <c r="I405">
        <f>VALUE(LEFT($G405,1))*VALUE(LEFT($H405,1))</f>
        <v/>
      </c>
      <c r="J405">
        <f>IF($I405&gt;=20,"Critical",IF($I405&gt;=15,"High",IF($I405&gt;=10,"Medium",IF($I405&gt;=5,"Low",IF($I405&gt;0,"Very Low","")))))</f>
        <v/>
      </c>
      <c r="K405" s="5" t="n"/>
      <c r="O405">
        <f>VALUE(LEFT($M405,1))*VALUE(LEFT($N405,1))</f>
        <v/>
      </c>
      <c r="P405">
        <f>IF($O405&gt;=20,"Critical",IF($O405&gt;=15,"High",IF($O405&gt;=10,"Medium",IF($O405&gt;=5,"Low",IF($O405&gt;0,"Very Low","")))))</f>
        <v/>
      </c>
      <c r="S405" s="5" t="n"/>
      <c r="V405" s="5" t="n"/>
      <c r="W405" s="6" t="n"/>
      <c r="X405" s="6" t="n"/>
      <c r="Z405" s="5" t="n"/>
    </row>
    <row r="406">
      <c r="D406" s="5" t="n"/>
      <c r="E406" s="5" t="n"/>
      <c r="F406" s="5" t="n"/>
      <c r="I406">
        <f>VALUE(LEFT($G406,1))*VALUE(LEFT($H406,1))</f>
        <v/>
      </c>
      <c r="J406">
        <f>IF($I406&gt;=20,"Critical",IF($I406&gt;=15,"High",IF($I406&gt;=10,"Medium",IF($I406&gt;=5,"Low",IF($I406&gt;0,"Very Low","")))))</f>
        <v/>
      </c>
      <c r="K406" s="5" t="n"/>
      <c r="O406">
        <f>VALUE(LEFT($M406,1))*VALUE(LEFT($N406,1))</f>
        <v/>
      </c>
      <c r="P406">
        <f>IF($O406&gt;=20,"Critical",IF($O406&gt;=15,"High",IF($O406&gt;=10,"Medium",IF($O406&gt;=5,"Low",IF($O406&gt;0,"Very Low","")))))</f>
        <v/>
      </c>
      <c r="S406" s="5" t="n"/>
      <c r="V406" s="5" t="n"/>
      <c r="W406" s="6" t="n"/>
      <c r="X406" s="6" t="n"/>
      <c r="Z406" s="5" t="n"/>
    </row>
    <row r="407">
      <c r="D407" s="5" t="n"/>
      <c r="E407" s="5" t="n"/>
      <c r="F407" s="5" t="n"/>
      <c r="I407">
        <f>VALUE(LEFT($G407,1))*VALUE(LEFT($H407,1))</f>
        <v/>
      </c>
      <c r="J407">
        <f>IF($I407&gt;=20,"Critical",IF($I407&gt;=15,"High",IF($I407&gt;=10,"Medium",IF($I407&gt;=5,"Low",IF($I407&gt;0,"Very Low","")))))</f>
        <v/>
      </c>
      <c r="K407" s="5" t="n"/>
      <c r="O407">
        <f>VALUE(LEFT($M407,1))*VALUE(LEFT($N407,1))</f>
        <v/>
      </c>
      <c r="P407">
        <f>IF($O407&gt;=20,"Critical",IF($O407&gt;=15,"High",IF($O407&gt;=10,"Medium",IF($O407&gt;=5,"Low",IF($O407&gt;0,"Very Low","")))))</f>
        <v/>
      </c>
      <c r="S407" s="5" t="n"/>
      <c r="V407" s="5" t="n"/>
      <c r="W407" s="6" t="n"/>
      <c r="X407" s="6" t="n"/>
      <c r="Z407" s="5" t="n"/>
    </row>
    <row r="408">
      <c r="D408" s="5" t="n"/>
      <c r="E408" s="5" t="n"/>
      <c r="F408" s="5" t="n"/>
      <c r="I408">
        <f>VALUE(LEFT($G408,1))*VALUE(LEFT($H408,1))</f>
        <v/>
      </c>
      <c r="J408">
        <f>IF($I408&gt;=20,"Critical",IF($I408&gt;=15,"High",IF($I408&gt;=10,"Medium",IF($I408&gt;=5,"Low",IF($I408&gt;0,"Very Low","")))))</f>
        <v/>
      </c>
      <c r="K408" s="5" t="n"/>
      <c r="O408">
        <f>VALUE(LEFT($M408,1))*VALUE(LEFT($N408,1))</f>
        <v/>
      </c>
      <c r="P408">
        <f>IF($O408&gt;=20,"Critical",IF($O408&gt;=15,"High",IF($O408&gt;=10,"Medium",IF($O408&gt;=5,"Low",IF($O408&gt;0,"Very Low","")))))</f>
        <v/>
      </c>
      <c r="S408" s="5" t="n"/>
      <c r="V408" s="5" t="n"/>
      <c r="W408" s="6" t="n"/>
      <c r="X408" s="6" t="n"/>
      <c r="Z408" s="5" t="n"/>
    </row>
    <row r="409">
      <c r="D409" s="5" t="n"/>
      <c r="E409" s="5" t="n"/>
      <c r="F409" s="5" t="n"/>
      <c r="I409">
        <f>VALUE(LEFT($G409,1))*VALUE(LEFT($H409,1))</f>
        <v/>
      </c>
      <c r="J409">
        <f>IF($I409&gt;=20,"Critical",IF($I409&gt;=15,"High",IF($I409&gt;=10,"Medium",IF($I409&gt;=5,"Low",IF($I409&gt;0,"Very Low","")))))</f>
        <v/>
      </c>
      <c r="K409" s="5" t="n"/>
      <c r="O409">
        <f>VALUE(LEFT($M409,1))*VALUE(LEFT($N409,1))</f>
        <v/>
      </c>
      <c r="P409">
        <f>IF($O409&gt;=20,"Critical",IF($O409&gt;=15,"High",IF($O409&gt;=10,"Medium",IF($O409&gt;=5,"Low",IF($O409&gt;0,"Very Low","")))))</f>
        <v/>
      </c>
      <c r="S409" s="5" t="n"/>
      <c r="V409" s="5" t="n"/>
      <c r="W409" s="6" t="n"/>
      <c r="X409" s="6" t="n"/>
      <c r="Z409" s="5" t="n"/>
    </row>
    <row r="410">
      <c r="D410" s="5" t="n"/>
      <c r="E410" s="5" t="n"/>
      <c r="F410" s="5" t="n"/>
      <c r="I410">
        <f>VALUE(LEFT($G410,1))*VALUE(LEFT($H410,1))</f>
        <v/>
      </c>
      <c r="J410">
        <f>IF($I410&gt;=20,"Critical",IF($I410&gt;=15,"High",IF($I410&gt;=10,"Medium",IF($I410&gt;=5,"Low",IF($I410&gt;0,"Very Low","")))))</f>
        <v/>
      </c>
      <c r="K410" s="5" t="n"/>
      <c r="O410">
        <f>VALUE(LEFT($M410,1))*VALUE(LEFT($N410,1))</f>
        <v/>
      </c>
      <c r="P410">
        <f>IF($O410&gt;=20,"Critical",IF($O410&gt;=15,"High",IF($O410&gt;=10,"Medium",IF($O410&gt;=5,"Low",IF($O410&gt;0,"Very Low","")))))</f>
        <v/>
      </c>
      <c r="S410" s="5" t="n"/>
      <c r="V410" s="5" t="n"/>
      <c r="W410" s="6" t="n"/>
      <c r="X410" s="6" t="n"/>
      <c r="Z410" s="5" t="n"/>
    </row>
    <row r="411">
      <c r="D411" s="5" t="n"/>
      <c r="E411" s="5" t="n"/>
      <c r="F411" s="5" t="n"/>
      <c r="I411">
        <f>VALUE(LEFT($G411,1))*VALUE(LEFT($H411,1))</f>
        <v/>
      </c>
      <c r="J411">
        <f>IF($I411&gt;=20,"Critical",IF($I411&gt;=15,"High",IF($I411&gt;=10,"Medium",IF($I411&gt;=5,"Low",IF($I411&gt;0,"Very Low","")))))</f>
        <v/>
      </c>
      <c r="K411" s="5" t="n"/>
      <c r="O411">
        <f>VALUE(LEFT($M411,1))*VALUE(LEFT($N411,1))</f>
        <v/>
      </c>
      <c r="P411">
        <f>IF($O411&gt;=20,"Critical",IF($O411&gt;=15,"High",IF($O411&gt;=10,"Medium",IF($O411&gt;=5,"Low",IF($O411&gt;0,"Very Low","")))))</f>
        <v/>
      </c>
      <c r="S411" s="5" t="n"/>
      <c r="V411" s="5" t="n"/>
      <c r="W411" s="6" t="n"/>
      <c r="X411" s="6" t="n"/>
      <c r="Z411" s="5" t="n"/>
    </row>
    <row r="412">
      <c r="D412" s="5" t="n"/>
      <c r="E412" s="5" t="n"/>
      <c r="F412" s="5" t="n"/>
      <c r="I412">
        <f>VALUE(LEFT($G412,1))*VALUE(LEFT($H412,1))</f>
        <v/>
      </c>
      <c r="J412">
        <f>IF($I412&gt;=20,"Critical",IF($I412&gt;=15,"High",IF($I412&gt;=10,"Medium",IF($I412&gt;=5,"Low",IF($I412&gt;0,"Very Low","")))))</f>
        <v/>
      </c>
      <c r="K412" s="5" t="n"/>
      <c r="O412">
        <f>VALUE(LEFT($M412,1))*VALUE(LEFT($N412,1))</f>
        <v/>
      </c>
      <c r="P412">
        <f>IF($O412&gt;=20,"Critical",IF($O412&gt;=15,"High",IF($O412&gt;=10,"Medium",IF($O412&gt;=5,"Low",IF($O412&gt;0,"Very Low","")))))</f>
        <v/>
      </c>
      <c r="S412" s="5" t="n"/>
      <c r="V412" s="5" t="n"/>
      <c r="W412" s="6" t="n"/>
      <c r="X412" s="6" t="n"/>
      <c r="Z412" s="5" t="n"/>
    </row>
    <row r="413">
      <c r="D413" s="5" t="n"/>
      <c r="E413" s="5" t="n"/>
      <c r="F413" s="5" t="n"/>
      <c r="I413">
        <f>VALUE(LEFT($G413,1))*VALUE(LEFT($H413,1))</f>
        <v/>
      </c>
      <c r="J413">
        <f>IF($I413&gt;=20,"Critical",IF($I413&gt;=15,"High",IF($I413&gt;=10,"Medium",IF($I413&gt;=5,"Low",IF($I413&gt;0,"Very Low","")))))</f>
        <v/>
      </c>
      <c r="K413" s="5" t="n"/>
      <c r="O413">
        <f>VALUE(LEFT($M413,1))*VALUE(LEFT($N413,1))</f>
        <v/>
      </c>
      <c r="P413">
        <f>IF($O413&gt;=20,"Critical",IF($O413&gt;=15,"High",IF($O413&gt;=10,"Medium",IF($O413&gt;=5,"Low",IF($O413&gt;0,"Very Low","")))))</f>
        <v/>
      </c>
      <c r="S413" s="5" t="n"/>
      <c r="V413" s="5" t="n"/>
      <c r="W413" s="6" t="n"/>
      <c r="X413" s="6" t="n"/>
      <c r="Z413" s="5" t="n"/>
    </row>
    <row r="414">
      <c r="D414" s="5" t="n"/>
      <c r="E414" s="5" t="n"/>
      <c r="F414" s="5" t="n"/>
      <c r="I414">
        <f>VALUE(LEFT($G414,1))*VALUE(LEFT($H414,1))</f>
        <v/>
      </c>
      <c r="J414">
        <f>IF($I414&gt;=20,"Critical",IF($I414&gt;=15,"High",IF($I414&gt;=10,"Medium",IF($I414&gt;=5,"Low",IF($I414&gt;0,"Very Low","")))))</f>
        <v/>
      </c>
      <c r="K414" s="5" t="n"/>
      <c r="O414">
        <f>VALUE(LEFT($M414,1))*VALUE(LEFT($N414,1))</f>
        <v/>
      </c>
      <c r="P414">
        <f>IF($O414&gt;=20,"Critical",IF($O414&gt;=15,"High",IF($O414&gt;=10,"Medium",IF($O414&gt;=5,"Low",IF($O414&gt;0,"Very Low","")))))</f>
        <v/>
      </c>
      <c r="S414" s="5" t="n"/>
      <c r="V414" s="5" t="n"/>
      <c r="W414" s="6" t="n"/>
      <c r="X414" s="6" t="n"/>
      <c r="Z414" s="5" t="n"/>
    </row>
    <row r="415">
      <c r="D415" s="5" t="n"/>
      <c r="E415" s="5" t="n"/>
      <c r="F415" s="5" t="n"/>
      <c r="I415">
        <f>VALUE(LEFT($G415,1))*VALUE(LEFT($H415,1))</f>
        <v/>
      </c>
      <c r="J415">
        <f>IF($I415&gt;=20,"Critical",IF($I415&gt;=15,"High",IF($I415&gt;=10,"Medium",IF($I415&gt;=5,"Low",IF($I415&gt;0,"Very Low","")))))</f>
        <v/>
      </c>
      <c r="K415" s="5" t="n"/>
      <c r="O415">
        <f>VALUE(LEFT($M415,1))*VALUE(LEFT($N415,1))</f>
        <v/>
      </c>
      <c r="P415">
        <f>IF($O415&gt;=20,"Critical",IF($O415&gt;=15,"High",IF($O415&gt;=10,"Medium",IF($O415&gt;=5,"Low",IF($O415&gt;0,"Very Low","")))))</f>
        <v/>
      </c>
      <c r="S415" s="5" t="n"/>
      <c r="V415" s="5" t="n"/>
      <c r="W415" s="6" t="n"/>
      <c r="X415" s="6" t="n"/>
      <c r="Z415" s="5" t="n"/>
    </row>
    <row r="416">
      <c r="D416" s="5" t="n"/>
      <c r="E416" s="5" t="n"/>
      <c r="F416" s="5" t="n"/>
      <c r="I416">
        <f>VALUE(LEFT($G416,1))*VALUE(LEFT($H416,1))</f>
        <v/>
      </c>
      <c r="J416">
        <f>IF($I416&gt;=20,"Critical",IF($I416&gt;=15,"High",IF($I416&gt;=10,"Medium",IF($I416&gt;=5,"Low",IF($I416&gt;0,"Very Low","")))))</f>
        <v/>
      </c>
      <c r="K416" s="5" t="n"/>
      <c r="O416">
        <f>VALUE(LEFT($M416,1))*VALUE(LEFT($N416,1))</f>
        <v/>
      </c>
      <c r="P416">
        <f>IF($O416&gt;=20,"Critical",IF($O416&gt;=15,"High",IF($O416&gt;=10,"Medium",IF($O416&gt;=5,"Low",IF($O416&gt;0,"Very Low","")))))</f>
        <v/>
      </c>
      <c r="S416" s="5" t="n"/>
      <c r="V416" s="5" t="n"/>
      <c r="W416" s="6" t="n"/>
      <c r="X416" s="6" t="n"/>
      <c r="Z416" s="5" t="n"/>
    </row>
    <row r="417">
      <c r="D417" s="5" t="n"/>
      <c r="E417" s="5" t="n"/>
      <c r="F417" s="5" t="n"/>
      <c r="I417">
        <f>VALUE(LEFT($G417,1))*VALUE(LEFT($H417,1))</f>
        <v/>
      </c>
      <c r="J417">
        <f>IF($I417&gt;=20,"Critical",IF($I417&gt;=15,"High",IF($I417&gt;=10,"Medium",IF($I417&gt;=5,"Low",IF($I417&gt;0,"Very Low","")))))</f>
        <v/>
      </c>
      <c r="K417" s="5" t="n"/>
      <c r="O417">
        <f>VALUE(LEFT($M417,1))*VALUE(LEFT($N417,1))</f>
        <v/>
      </c>
      <c r="P417">
        <f>IF($O417&gt;=20,"Critical",IF($O417&gt;=15,"High",IF($O417&gt;=10,"Medium",IF($O417&gt;=5,"Low",IF($O417&gt;0,"Very Low","")))))</f>
        <v/>
      </c>
      <c r="S417" s="5" t="n"/>
      <c r="V417" s="5" t="n"/>
      <c r="W417" s="6" t="n"/>
      <c r="X417" s="6" t="n"/>
      <c r="Z417" s="5" t="n"/>
    </row>
    <row r="418">
      <c r="D418" s="5" t="n"/>
      <c r="E418" s="5" t="n"/>
      <c r="F418" s="5" t="n"/>
      <c r="I418">
        <f>VALUE(LEFT($G418,1))*VALUE(LEFT($H418,1))</f>
        <v/>
      </c>
      <c r="J418">
        <f>IF($I418&gt;=20,"Critical",IF($I418&gt;=15,"High",IF($I418&gt;=10,"Medium",IF($I418&gt;=5,"Low",IF($I418&gt;0,"Very Low","")))))</f>
        <v/>
      </c>
      <c r="K418" s="5" t="n"/>
      <c r="O418">
        <f>VALUE(LEFT($M418,1))*VALUE(LEFT($N418,1))</f>
        <v/>
      </c>
      <c r="P418">
        <f>IF($O418&gt;=20,"Critical",IF($O418&gt;=15,"High",IF($O418&gt;=10,"Medium",IF($O418&gt;=5,"Low",IF($O418&gt;0,"Very Low","")))))</f>
        <v/>
      </c>
      <c r="S418" s="5" t="n"/>
      <c r="V418" s="5" t="n"/>
      <c r="W418" s="6" t="n"/>
      <c r="X418" s="6" t="n"/>
      <c r="Z418" s="5" t="n"/>
    </row>
    <row r="419">
      <c r="D419" s="5" t="n"/>
      <c r="E419" s="5" t="n"/>
      <c r="F419" s="5" t="n"/>
      <c r="I419">
        <f>VALUE(LEFT($G419,1))*VALUE(LEFT($H419,1))</f>
        <v/>
      </c>
      <c r="J419">
        <f>IF($I419&gt;=20,"Critical",IF($I419&gt;=15,"High",IF($I419&gt;=10,"Medium",IF($I419&gt;=5,"Low",IF($I419&gt;0,"Very Low","")))))</f>
        <v/>
      </c>
      <c r="K419" s="5" t="n"/>
      <c r="O419">
        <f>VALUE(LEFT($M419,1))*VALUE(LEFT($N419,1))</f>
        <v/>
      </c>
      <c r="P419">
        <f>IF($O419&gt;=20,"Critical",IF($O419&gt;=15,"High",IF($O419&gt;=10,"Medium",IF($O419&gt;=5,"Low",IF($O419&gt;0,"Very Low","")))))</f>
        <v/>
      </c>
      <c r="S419" s="5" t="n"/>
      <c r="V419" s="5" t="n"/>
      <c r="W419" s="6" t="n"/>
      <c r="X419" s="6" t="n"/>
      <c r="Z419" s="5" t="n"/>
    </row>
    <row r="420">
      <c r="D420" s="5" t="n"/>
      <c r="E420" s="5" t="n"/>
      <c r="F420" s="5" t="n"/>
      <c r="I420">
        <f>VALUE(LEFT($G420,1))*VALUE(LEFT($H420,1))</f>
        <v/>
      </c>
      <c r="J420">
        <f>IF($I420&gt;=20,"Critical",IF($I420&gt;=15,"High",IF($I420&gt;=10,"Medium",IF($I420&gt;=5,"Low",IF($I420&gt;0,"Very Low","")))))</f>
        <v/>
      </c>
      <c r="K420" s="5" t="n"/>
      <c r="O420">
        <f>VALUE(LEFT($M420,1))*VALUE(LEFT($N420,1))</f>
        <v/>
      </c>
      <c r="P420">
        <f>IF($O420&gt;=20,"Critical",IF($O420&gt;=15,"High",IF($O420&gt;=10,"Medium",IF($O420&gt;=5,"Low",IF($O420&gt;0,"Very Low","")))))</f>
        <v/>
      </c>
      <c r="S420" s="5" t="n"/>
      <c r="V420" s="5" t="n"/>
      <c r="W420" s="6" t="n"/>
      <c r="X420" s="6" t="n"/>
      <c r="Z420" s="5" t="n"/>
    </row>
    <row r="421">
      <c r="D421" s="5" t="n"/>
      <c r="E421" s="5" t="n"/>
      <c r="F421" s="5" t="n"/>
      <c r="I421">
        <f>VALUE(LEFT($G421,1))*VALUE(LEFT($H421,1))</f>
        <v/>
      </c>
      <c r="J421">
        <f>IF($I421&gt;=20,"Critical",IF($I421&gt;=15,"High",IF($I421&gt;=10,"Medium",IF($I421&gt;=5,"Low",IF($I421&gt;0,"Very Low","")))))</f>
        <v/>
      </c>
      <c r="K421" s="5" t="n"/>
      <c r="O421">
        <f>VALUE(LEFT($M421,1))*VALUE(LEFT($N421,1))</f>
        <v/>
      </c>
      <c r="P421">
        <f>IF($O421&gt;=20,"Critical",IF($O421&gt;=15,"High",IF($O421&gt;=10,"Medium",IF($O421&gt;=5,"Low",IF($O421&gt;0,"Very Low","")))))</f>
        <v/>
      </c>
      <c r="S421" s="5" t="n"/>
      <c r="V421" s="5" t="n"/>
      <c r="W421" s="6" t="n"/>
      <c r="X421" s="6" t="n"/>
      <c r="Z421" s="5" t="n"/>
    </row>
    <row r="422">
      <c r="D422" s="5" t="n"/>
      <c r="E422" s="5" t="n"/>
      <c r="F422" s="5" t="n"/>
      <c r="I422">
        <f>VALUE(LEFT($G422,1))*VALUE(LEFT($H422,1))</f>
        <v/>
      </c>
      <c r="J422">
        <f>IF($I422&gt;=20,"Critical",IF($I422&gt;=15,"High",IF($I422&gt;=10,"Medium",IF($I422&gt;=5,"Low",IF($I422&gt;0,"Very Low","")))))</f>
        <v/>
      </c>
      <c r="K422" s="5" t="n"/>
      <c r="O422">
        <f>VALUE(LEFT($M422,1))*VALUE(LEFT($N422,1))</f>
        <v/>
      </c>
      <c r="P422">
        <f>IF($O422&gt;=20,"Critical",IF($O422&gt;=15,"High",IF($O422&gt;=10,"Medium",IF($O422&gt;=5,"Low",IF($O422&gt;0,"Very Low","")))))</f>
        <v/>
      </c>
      <c r="S422" s="5" t="n"/>
      <c r="V422" s="5" t="n"/>
      <c r="W422" s="6" t="n"/>
      <c r="X422" s="6" t="n"/>
      <c r="Z422" s="5" t="n"/>
    </row>
    <row r="423">
      <c r="D423" s="5" t="n"/>
      <c r="E423" s="5" t="n"/>
      <c r="F423" s="5" t="n"/>
      <c r="I423">
        <f>VALUE(LEFT($G423,1))*VALUE(LEFT($H423,1))</f>
        <v/>
      </c>
      <c r="J423">
        <f>IF($I423&gt;=20,"Critical",IF($I423&gt;=15,"High",IF($I423&gt;=10,"Medium",IF($I423&gt;=5,"Low",IF($I423&gt;0,"Very Low","")))))</f>
        <v/>
      </c>
      <c r="K423" s="5" t="n"/>
      <c r="O423">
        <f>VALUE(LEFT($M423,1))*VALUE(LEFT($N423,1))</f>
        <v/>
      </c>
      <c r="P423">
        <f>IF($O423&gt;=20,"Critical",IF($O423&gt;=15,"High",IF($O423&gt;=10,"Medium",IF($O423&gt;=5,"Low",IF($O423&gt;0,"Very Low","")))))</f>
        <v/>
      </c>
      <c r="S423" s="5" t="n"/>
      <c r="V423" s="5" t="n"/>
      <c r="W423" s="6" t="n"/>
      <c r="X423" s="6" t="n"/>
      <c r="Z423" s="5" t="n"/>
    </row>
    <row r="424">
      <c r="D424" s="5" t="n"/>
      <c r="E424" s="5" t="n"/>
      <c r="F424" s="5" t="n"/>
      <c r="I424">
        <f>VALUE(LEFT($G424,1))*VALUE(LEFT($H424,1))</f>
        <v/>
      </c>
      <c r="J424">
        <f>IF($I424&gt;=20,"Critical",IF($I424&gt;=15,"High",IF($I424&gt;=10,"Medium",IF($I424&gt;=5,"Low",IF($I424&gt;0,"Very Low","")))))</f>
        <v/>
      </c>
      <c r="K424" s="5" t="n"/>
      <c r="O424">
        <f>VALUE(LEFT($M424,1))*VALUE(LEFT($N424,1))</f>
        <v/>
      </c>
      <c r="P424">
        <f>IF($O424&gt;=20,"Critical",IF($O424&gt;=15,"High",IF($O424&gt;=10,"Medium",IF($O424&gt;=5,"Low",IF($O424&gt;0,"Very Low","")))))</f>
        <v/>
      </c>
      <c r="S424" s="5" t="n"/>
      <c r="V424" s="5" t="n"/>
      <c r="W424" s="6" t="n"/>
      <c r="X424" s="6" t="n"/>
      <c r="Z424" s="5" t="n"/>
    </row>
    <row r="425">
      <c r="D425" s="5" t="n"/>
      <c r="E425" s="5" t="n"/>
      <c r="F425" s="5" t="n"/>
      <c r="I425">
        <f>VALUE(LEFT($G425,1))*VALUE(LEFT($H425,1))</f>
        <v/>
      </c>
      <c r="J425">
        <f>IF($I425&gt;=20,"Critical",IF($I425&gt;=15,"High",IF($I425&gt;=10,"Medium",IF($I425&gt;=5,"Low",IF($I425&gt;0,"Very Low","")))))</f>
        <v/>
      </c>
      <c r="K425" s="5" t="n"/>
      <c r="O425">
        <f>VALUE(LEFT($M425,1))*VALUE(LEFT($N425,1))</f>
        <v/>
      </c>
      <c r="P425">
        <f>IF($O425&gt;=20,"Critical",IF($O425&gt;=15,"High",IF($O425&gt;=10,"Medium",IF($O425&gt;=5,"Low",IF($O425&gt;0,"Very Low","")))))</f>
        <v/>
      </c>
      <c r="S425" s="5" t="n"/>
      <c r="V425" s="5" t="n"/>
      <c r="W425" s="6" t="n"/>
      <c r="X425" s="6" t="n"/>
      <c r="Z425" s="5" t="n"/>
    </row>
    <row r="426">
      <c r="D426" s="5" t="n"/>
      <c r="E426" s="5" t="n"/>
      <c r="F426" s="5" t="n"/>
      <c r="I426">
        <f>VALUE(LEFT($G426,1))*VALUE(LEFT($H426,1))</f>
        <v/>
      </c>
      <c r="J426">
        <f>IF($I426&gt;=20,"Critical",IF($I426&gt;=15,"High",IF($I426&gt;=10,"Medium",IF($I426&gt;=5,"Low",IF($I426&gt;0,"Very Low","")))))</f>
        <v/>
      </c>
      <c r="K426" s="5" t="n"/>
      <c r="O426">
        <f>VALUE(LEFT($M426,1))*VALUE(LEFT($N426,1))</f>
        <v/>
      </c>
      <c r="P426">
        <f>IF($O426&gt;=20,"Critical",IF($O426&gt;=15,"High",IF($O426&gt;=10,"Medium",IF($O426&gt;=5,"Low",IF($O426&gt;0,"Very Low","")))))</f>
        <v/>
      </c>
      <c r="S426" s="5" t="n"/>
      <c r="V426" s="5" t="n"/>
      <c r="W426" s="6" t="n"/>
      <c r="X426" s="6" t="n"/>
      <c r="Z426" s="5" t="n"/>
    </row>
    <row r="427">
      <c r="D427" s="5" t="n"/>
      <c r="E427" s="5" t="n"/>
      <c r="F427" s="5" t="n"/>
      <c r="I427">
        <f>VALUE(LEFT($G427,1))*VALUE(LEFT($H427,1))</f>
        <v/>
      </c>
      <c r="J427">
        <f>IF($I427&gt;=20,"Critical",IF($I427&gt;=15,"High",IF($I427&gt;=10,"Medium",IF($I427&gt;=5,"Low",IF($I427&gt;0,"Very Low","")))))</f>
        <v/>
      </c>
      <c r="K427" s="5" t="n"/>
      <c r="O427">
        <f>VALUE(LEFT($M427,1))*VALUE(LEFT($N427,1))</f>
        <v/>
      </c>
      <c r="P427">
        <f>IF($O427&gt;=20,"Critical",IF($O427&gt;=15,"High",IF($O427&gt;=10,"Medium",IF($O427&gt;=5,"Low",IF($O427&gt;0,"Very Low","")))))</f>
        <v/>
      </c>
      <c r="S427" s="5" t="n"/>
      <c r="V427" s="5" t="n"/>
      <c r="W427" s="6" t="n"/>
      <c r="X427" s="6" t="n"/>
      <c r="Z427" s="5" t="n"/>
    </row>
    <row r="428">
      <c r="D428" s="5" t="n"/>
      <c r="E428" s="5" t="n"/>
      <c r="F428" s="5" t="n"/>
      <c r="I428">
        <f>VALUE(LEFT($G428,1))*VALUE(LEFT($H428,1))</f>
        <v/>
      </c>
      <c r="J428">
        <f>IF($I428&gt;=20,"Critical",IF($I428&gt;=15,"High",IF($I428&gt;=10,"Medium",IF($I428&gt;=5,"Low",IF($I428&gt;0,"Very Low","")))))</f>
        <v/>
      </c>
      <c r="K428" s="5" t="n"/>
      <c r="O428">
        <f>VALUE(LEFT($M428,1))*VALUE(LEFT($N428,1))</f>
        <v/>
      </c>
      <c r="P428">
        <f>IF($O428&gt;=20,"Critical",IF($O428&gt;=15,"High",IF($O428&gt;=10,"Medium",IF($O428&gt;=5,"Low",IF($O428&gt;0,"Very Low","")))))</f>
        <v/>
      </c>
      <c r="S428" s="5" t="n"/>
      <c r="V428" s="5" t="n"/>
      <c r="W428" s="6" t="n"/>
      <c r="X428" s="6" t="n"/>
      <c r="Z428" s="5" t="n"/>
    </row>
    <row r="429">
      <c r="D429" s="5" t="n"/>
      <c r="E429" s="5" t="n"/>
      <c r="F429" s="5" t="n"/>
      <c r="I429">
        <f>VALUE(LEFT($G429,1))*VALUE(LEFT($H429,1))</f>
        <v/>
      </c>
      <c r="J429">
        <f>IF($I429&gt;=20,"Critical",IF($I429&gt;=15,"High",IF($I429&gt;=10,"Medium",IF($I429&gt;=5,"Low",IF($I429&gt;0,"Very Low","")))))</f>
        <v/>
      </c>
      <c r="K429" s="5" t="n"/>
      <c r="O429">
        <f>VALUE(LEFT($M429,1))*VALUE(LEFT($N429,1))</f>
        <v/>
      </c>
      <c r="P429">
        <f>IF($O429&gt;=20,"Critical",IF($O429&gt;=15,"High",IF($O429&gt;=10,"Medium",IF($O429&gt;=5,"Low",IF($O429&gt;0,"Very Low","")))))</f>
        <v/>
      </c>
      <c r="S429" s="5" t="n"/>
      <c r="V429" s="5" t="n"/>
      <c r="W429" s="6" t="n"/>
      <c r="X429" s="6" t="n"/>
      <c r="Z429" s="5" t="n"/>
    </row>
    <row r="430">
      <c r="D430" s="5" t="n"/>
      <c r="E430" s="5" t="n"/>
      <c r="F430" s="5" t="n"/>
      <c r="I430">
        <f>VALUE(LEFT($G430,1))*VALUE(LEFT($H430,1))</f>
        <v/>
      </c>
      <c r="J430">
        <f>IF($I430&gt;=20,"Critical",IF($I430&gt;=15,"High",IF($I430&gt;=10,"Medium",IF($I430&gt;=5,"Low",IF($I430&gt;0,"Very Low","")))))</f>
        <v/>
      </c>
      <c r="K430" s="5" t="n"/>
      <c r="O430">
        <f>VALUE(LEFT($M430,1))*VALUE(LEFT($N430,1))</f>
        <v/>
      </c>
      <c r="P430">
        <f>IF($O430&gt;=20,"Critical",IF($O430&gt;=15,"High",IF($O430&gt;=10,"Medium",IF($O430&gt;=5,"Low",IF($O430&gt;0,"Very Low","")))))</f>
        <v/>
      </c>
      <c r="S430" s="5" t="n"/>
      <c r="V430" s="5" t="n"/>
      <c r="W430" s="6" t="n"/>
      <c r="X430" s="6" t="n"/>
      <c r="Z430" s="5" t="n"/>
    </row>
    <row r="431">
      <c r="D431" s="5" t="n"/>
      <c r="E431" s="5" t="n"/>
      <c r="F431" s="5" t="n"/>
      <c r="I431">
        <f>VALUE(LEFT($G431,1))*VALUE(LEFT($H431,1))</f>
        <v/>
      </c>
      <c r="J431">
        <f>IF($I431&gt;=20,"Critical",IF($I431&gt;=15,"High",IF($I431&gt;=10,"Medium",IF($I431&gt;=5,"Low",IF($I431&gt;0,"Very Low","")))))</f>
        <v/>
      </c>
      <c r="K431" s="5" t="n"/>
      <c r="O431">
        <f>VALUE(LEFT($M431,1))*VALUE(LEFT($N431,1))</f>
        <v/>
      </c>
      <c r="P431">
        <f>IF($O431&gt;=20,"Critical",IF($O431&gt;=15,"High",IF($O431&gt;=10,"Medium",IF($O431&gt;=5,"Low",IF($O431&gt;0,"Very Low","")))))</f>
        <v/>
      </c>
      <c r="S431" s="5" t="n"/>
      <c r="V431" s="5" t="n"/>
      <c r="W431" s="6" t="n"/>
      <c r="X431" s="6" t="n"/>
      <c r="Z431" s="5" t="n"/>
    </row>
    <row r="432">
      <c r="D432" s="5" t="n"/>
      <c r="E432" s="5" t="n"/>
      <c r="F432" s="5" t="n"/>
      <c r="I432">
        <f>VALUE(LEFT($G432,1))*VALUE(LEFT($H432,1))</f>
        <v/>
      </c>
      <c r="J432">
        <f>IF($I432&gt;=20,"Critical",IF($I432&gt;=15,"High",IF($I432&gt;=10,"Medium",IF($I432&gt;=5,"Low",IF($I432&gt;0,"Very Low","")))))</f>
        <v/>
      </c>
      <c r="K432" s="5" t="n"/>
      <c r="O432">
        <f>VALUE(LEFT($M432,1))*VALUE(LEFT($N432,1))</f>
        <v/>
      </c>
      <c r="P432">
        <f>IF($O432&gt;=20,"Critical",IF($O432&gt;=15,"High",IF($O432&gt;=10,"Medium",IF($O432&gt;=5,"Low",IF($O432&gt;0,"Very Low","")))))</f>
        <v/>
      </c>
      <c r="S432" s="5" t="n"/>
      <c r="V432" s="5" t="n"/>
      <c r="W432" s="6" t="n"/>
      <c r="X432" s="6" t="n"/>
      <c r="Z432" s="5" t="n"/>
    </row>
    <row r="433">
      <c r="D433" s="5" t="n"/>
      <c r="E433" s="5" t="n"/>
      <c r="F433" s="5" t="n"/>
      <c r="I433">
        <f>VALUE(LEFT($G433,1))*VALUE(LEFT($H433,1))</f>
        <v/>
      </c>
      <c r="J433">
        <f>IF($I433&gt;=20,"Critical",IF($I433&gt;=15,"High",IF($I433&gt;=10,"Medium",IF($I433&gt;=5,"Low",IF($I433&gt;0,"Very Low","")))))</f>
        <v/>
      </c>
      <c r="K433" s="5" t="n"/>
      <c r="O433">
        <f>VALUE(LEFT($M433,1))*VALUE(LEFT($N433,1))</f>
        <v/>
      </c>
      <c r="P433">
        <f>IF($O433&gt;=20,"Critical",IF($O433&gt;=15,"High",IF($O433&gt;=10,"Medium",IF($O433&gt;=5,"Low",IF($O433&gt;0,"Very Low","")))))</f>
        <v/>
      </c>
      <c r="S433" s="5" t="n"/>
      <c r="V433" s="5" t="n"/>
      <c r="W433" s="6" t="n"/>
      <c r="X433" s="6" t="n"/>
      <c r="Z433" s="5" t="n"/>
    </row>
    <row r="434">
      <c r="D434" s="5" t="n"/>
      <c r="E434" s="5" t="n"/>
      <c r="F434" s="5" t="n"/>
      <c r="I434">
        <f>VALUE(LEFT($G434,1))*VALUE(LEFT($H434,1))</f>
        <v/>
      </c>
      <c r="J434">
        <f>IF($I434&gt;=20,"Critical",IF($I434&gt;=15,"High",IF($I434&gt;=10,"Medium",IF($I434&gt;=5,"Low",IF($I434&gt;0,"Very Low","")))))</f>
        <v/>
      </c>
      <c r="K434" s="5" t="n"/>
      <c r="O434">
        <f>VALUE(LEFT($M434,1))*VALUE(LEFT($N434,1))</f>
        <v/>
      </c>
      <c r="P434">
        <f>IF($O434&gt;=20,"Critical",IF($O434&gt;=15,"High",IF($O434&gt;=10,"Medium",IF($O434&gt;=5,"Low",IF($O434&gt;0,"Very Low","")))))</f>
        <v/>
      </c>
      <c r="S434" s="5" t="n"/>
      <c r="V434" s="5" t="n"/>
      <c r="W434" s="6" t="n"/>
      <c r="X434" s="6" t="n"/>
      <c r="Z434" s="5" t="n"/>
    </row>
    <row r="435">
      <c r="D435" s="5" t="n"/>
      <c r="E435" s="5" t="n"/>
      <c r="F435" s="5" t="n"/>
      <c r="I435">
        <f>VALUE(LEFT($G435,1))*VALUE(LEFT($H435,1))</f>
        <v/>
      </c>
      <c r="J435">
        <f>IF($I435&gt;=20,"Critical",IF($I435&gt;=15,"High",IF($I435&gt;=10,"Medium",IF($I435&gt;=5,"Low",IF($I435&gt;0,"Very Low","")))))</f>
        <v/>
      </c>
      <c r="K435" s="5" t="n"/>
      <c r="O435">
        <f>VALUE(LEFT($M435,1))*VALUE(LEFT($N435,1))</f>
        <v/>
      </c>
      <c r="P435">
        <f>IF($O435&gt;=20,"Critical",IF($O435&gt;=15,"High",IF($O435&gt;=10,"Medium",IF($O435&gt;=5,"Low",IF($O435&gt;0,"Very Low","")))))</f>
        <v/>
      </c>
      <c r="S435" s="5" t="n"/>
      <c r="V435" s="5" t="n"/>
      <c r="W435" s="6" t="n"/>
      <c r="X435" s="6" t="n"/>
      <c r="Z435" s="5" t="n"/>
    </row>
    <row r="436">
      <c r="D436" s="5" t="n"/>
      <c r="E436" s="5" t="n"/>
      <c r="F436" s="5" t="n"/>
      <c r="I436">
        <f>VALUE(LEFT($G436,1))*VALUE(LEFT($H436,1))</f>
        <v/>
      </c>
      <c r="J436">
        <f>IF($I436&gt;=20,"Critical",IF($I436&gt;=15,"High",IF($I436&gt;=10,"Medium",IF($I436&gt;=5,"Low",IF($I436&gt;0,"Very Low","")))))</f>
        <v/>
      </c>
      <c r="K436" s="5" t="n"/>
      <c r="O436">
        <f>VALUE(LEFT($M436,1))*VALUE(LEFT($N436,1))</f>
        <v/>
      </c>
      <c r="P436">
        <f>IF($O436&gt;=20,"Critical",IF($O436&gt;=15,"High",IF($O436&gt;=10,"Medium",IF($O436&gt;=5,"Low",IF($O436&gt;0,"Very Low","")))))</f>
        <v/>
      </c>
      <c r="S436" s="5" t="n"/>
      <c r="V436" s="5" t="n"/>
      <c r="W436" s="6" t="n"/>
      <c r="X436" s="6" t="n"/>
      <c r="Z436" s="5" t="n"/>
    </row>
    <row r="437">
      <c r="D437" s="5" t="n"/>
      <c r="E437" s="5" t="n"/>
      <c r="F437" s="5" t="n"/>
      <c r="I437">
        <f>VALUE(LEFT($G437,1))*VALUE(LEFT($H437,1))</f>
        <v/>
      </c>
      <c r="J437">
        <f>IF($I437&gt;=20,"Critical",IF($I437&gt;=15,"High",IF($I437&gt;=10,"Medium",IF($I437&gt;=5,"Low",IF($I437&gt;0,"Very Low","")))))</f>
        <v/>
      </c>
      <c r="K437" s="5" t="n"/>
      <c r="O437">
        <f>VALUE(LEFT($M437,1))*VALUE(LEFT($N437,1))</f>
        <v/>
      </c>
      <c r="P437">
        <f>IF($O437&gt;=20,"Critical",IF($O437&gt;=15,"High",IF($O437&gt;=10,"Medium",IF($O437&gt;=5,"Low",IF($O437&gt;0,"Very Low","")))))</f>
        <v/>
      </c>
      <c r="S437" s="5" t="n"/>
      <c r="V437" s="5" t="n"/>
      <c r="W437" s="6" t="n"/>
      <c r="X437" s="6" t="n"/>
      <c r="Z437" s="5" t="n"/>
    </row>
    <row r="438">
      <c r="D438" s="5" t="n"/>
      <c r="E438" s="5" t="n"/>
      <c r="F438" s="5" t="n"/>
      <c r="I438">
        <f>VALUE(LEFT($G438,1))*VALUE(LEFT($H438,1))</f>
        <v/>
      </c>
      <c r="J438">
        <f>IF($I438&gt;=20,"Critical",IF($I438&gt;=15,"High",IF($I438&gt;=10,"Medium",IF($I438&gt;=5,"Low",IF($I438&gt;0,"Very Low","")))))</f>
        <v/>
      </c>
      <c r="K438" s="5" t="n"/>
      <c r="O438">
        <f>VALUE(LEFT($M438,1))*VALUE(LEFT($N438,1))</f>
        <v/>
      </c>
      <c r="P438">
        <f>IF($O438&gt;=20,"Critical",IF($O438&gt;=15,"High",IF($O438&gt;=10,"Medium",IF($O438&gt;=5,"Low",IF($O438&gt;0,"Very Low","")))))</f>
        <v/>
      </c>
      <c r="S438" s="5" t="n"/>
      <c r="V438" s="5" t="n"/>
      <c r="W438" s="6" t="n"/>
      <c r="X438" s="6" t="n"/>
      <c r="Z438" s="5" t="n"/>
    </row>
    <row r="439">
      <c r="D439" s="5" t="n"/>
      <c r="E439" s="5" t="n"/>
      <c r="F439" s="5" t="n"/>
      <c r="I439">
        <f>VALUE(LEFT($G439,1))*VALUE(LEFT($H439,1))</f>
        <v/>
      </c>
      <c r="J439">
        <f>IF($I439&gt;=20,"Critical",IF($I439&gt;=15,"High",IF($I439&gt;=10,"Medium",IF($I439&gt;=5,"Low",IF($I439&gt;0,"Very Low","")))))</f>
        <v/>
      </c>
      <c r="K439" s="5" t="n"/>
      <c r="O439">
        <f>VALUE(LEFT($M439,1))*VALUE(LEFT($N439,1))</f>
        <v/>
      </c>
      <c r="P439">
        <f>IF($O439&gt;=20,"Critical",IF($O439&gt;=15,"High",IF($O439&gt;=10,"Medium",IF($O439&gt;=5,"Low",IF($O439&gt;0,"Very Low","")))))</f>
        <v/>
      </c>
      <c r="S439" s="5" t="n"/>
      <c r="V439" s="5" t="n"/>
      <c r="W439" s="6" t="n"/>
      <c r="X439" s="6" t="n"/>
      <c r="Z439" s="5" t="n"/>
    </row>
    <row r="440">
      <c r="D440" s="5" t="n"/>
      <c r="E440" s="5" t="n"/>
      <c r="F440" s="5" t="n"/>
      <c r="I440">
        <f>VALUE(LEFT($G440,1))*VALUE(LEFT($H440,1))</f>
        <v/>
      </c>
      <c r="J440">
        <f>IF($I440&gt;=20,"Critical",IF($I440&gt;=15,"High",IF($I440&gt;=10,"Medium",IF($I440&gt;=5,"Low",IF($I440&gt;0,"Very Low","")))))</f>
        <v/>
      </c>
      <c r="K440" s="5" t="n"/>
      <c r="O440">
        <f>VALUE(LEFT($M440,1))*VALUE(LEFT($N440,1))</f>
        <v/>
      </c>
      <c r="P440">
        <f>IF($O440&gt;=20,"Critical",IF($O440&gt;=15,"High",IF($O440&gt;=10,"Medium",IF($O440&gt;=5,"Low",IF($O440&gt;0,"Very Low","")))))</f>
        <v/>
      </c>
      <c r="S440" s="5" t="n"/>
      <c r="V440" s="5" t="n"/>
      <c r="W440" s="6" t="n"/>
      <c r="X440" s="6" t="n"/>
      <c r="Z440" s="5" t="n"/>
    </row>
    <row r="441">
      <c r="D441" s="5" t="n"/>
      <c r="E441" s="5" t="n"/>
      <c r="F441" s="5" t="n"/>
      <c r="I441">
        <f>VALUE(LEFT($G441,1))*VALUE(LEFT($H441,1))</f>
        <v/>
      </c>
      <c r="J441">
        <f>IF($I441&gt;=20,"Critical",IF($I441&gt;=15,"High",IF($I441&gt;=10,"Medium",IF($I441&gt;=5,"Low",IF($I441&gt;0,"Very Low","")))))</f>
        <v/>
      </c>
      <c r="K441" s="5" t="n"/>
      <c r="O441">
        <f>VALUE(LEFT($M441,1))*VALUE(LEFT($N441,1))</f>
        <v/>
      </c>
      <c r="P441">
        <f>IF($O441&gt;=20,"Critical",IF($O441&gt;=15,"High",IF($O441&gt;=10,"Medium",IF($O441&gt;=5,"Low",IF($O441&gt;0,"Very Low","")))))</f>
        <v/>
      </c>
      <c r="S441" s="5" t="n"/>
      <c r="V441" s="5" t="n"/>
      <c r="W441" s="6" t="n"/>
      <c r="X441" s="6" t="n"/>
      <c r="Z441" s="5" t="n"/>
    </row>
    <row r="442">
      <c r="D442" s="5" t="n"/>
      <c r="E442" s="5" t="n"/>
      <c r="F442" s="5" t="n"/>
      <c r="I442">
        <f>VALUE(LEFT($G442,1))*VALUE(LEFT($H442,1))</f>
        <v/>
      </c>
      <c r="J442">
        <f>IF($I442&gt;=20,"Critical",IF($I442&gt;=15,"High",IF($I442&gt;=10,"Medium",IF($I442&gt;=5,"Low",IF($I442&gt;0,"Very Low","")))))</f>
        <v/>
      </c>
      <c r="K442" s="5" t="n"/>
      <c r="O442">
        <f>VALUE(LEFT($M442,1))*VALUE(LEFT($N442,1))</f>
        <v/>
      </c>
      <c r="P442">
        <f>IF($O442&gt;=20,"Critical",IF($O442&gt;=15,"High",IF($O442&gt;=10,"Medium",IF($O442&gt;=5,"Low",IF($O442&gt;0,"Very Low","")))))</f>
        <v/>
      </c>
      <c r="S442" s="5" t="n"/>
      <c r="V442" s="5" t="n"/>
      <c r="W442" s="6" t="n"/>
      <c r="X442" s="6" t="n"/>
      <c r="Z442" s="5" t="n"/>
    </row>
    <row r="443">
      <c r="D443" s="5" t="n"/>
      <c r="E443" s="5" t="n"/>
      <c r="F443" s="5" t="n"/>
      <c r="I443">
        <f>VALUE(LEFT($G443,1))*VALUE(LEFT($H443,1))</f>
        <v/>
      </c>
      <c r="J443">
        <f>IF($I443&gt;=20,"Critical",IF($I443&gt;=15,"High",IF($I443&gt;=10,"Medium",IF($I443&gt;=5,"Low",IF($I443&gt;0,"Very Low","")))))</f>
        <v/>
      </c>
      <c r="K443" s="5" t="n"/>
      <c r="O443">
        <f>VALUE(LEFT($M443,1))*VALUE(LEFT($N443,1))</f>
        <v/>
      </c>
      <c r="P443">
        <f>IF($O443&gt;=20,"Critical",IF($O443&gt;=15,"High",IF($O443&gt;=10,"Medium",IF($O443&gt;=5,"Low",IF($O443&gt;0,"Very Low","")))))</f>
        <v/>
      </c>
      <c r="S443" s="5" t="n"/>
      <c r="V443" s="5" t="n"/>
      <c r="W443" s="6" t="n"/>
      <c r="X443" s="6" t="n"/>
      <c r="Z443" s="5" t="n"/>
    </row>
    <row r="444">
      <c r="D444" s="5" t="n"/>
      <c r="E444" s="5" t="n"/>
      <c r="F444" s="5" t="n"/>
      <c r="I444">
        <f>VALUE(LEFT($G444,1))*VALUE(LEFT($H444,1))</f>
        <v/>
      </c>
      <c r="J444">
        <f>IF($I444&gt;=20,"Critical",IF($I444&gt;=15,"High",IF($I444&gt;=10,"Medium",IF($I444&gt;=5,"Low",IF($I444&gt;0,"Very Low","")))))</f>
        <v/>
      </c>
      <c r="K444" s="5" t="n"/>
      <c r="O444">
        <f>VALUE(LEFT($M444,1))*VALUE(LEFT($N444,1))</f>
        <v/>
      </c>
      <c r="P444">
        <f>IF($O444&gt;=20,"Critical",IF($O444&gt;=15,"High",IF($O444&gt;=10,"Medium",IF($O444&gt;=5,"Low",IF($O444&gt;0,"Very Low","")))))</f>
        <v/>
      </c>
      <c r="S444" s="5" t="n"/>
      <c r="V444" s="5" t="n"/>
      <c r="W444" s="6" t="n"/>
      <c r="X444" s="6" t="n"/>
      <c r="Z444" s="5" t="n"/>
    </row>
    <row r="445">
      <c r="D445" s="5" t="n"/>
      <c r="E445" s="5" t="n"/>
      <c r="F445" s="5" t="n"/>
      <c r="I445">
        <f>VALUE(LEFT($G445,1))*VALUE(LEFT($H445,1))</f>
        <v/>
      </c>
      <c r="J445">
        <f>IF($I445&gt;=20,"Critical",IF($I445&gt;=15,"High",IF($I445&gt;=10,"Medium",IF($I445&gt;=5,"Low",IF($I445&gt;0,"Very Low","")))))</f>
        <v/>
      </c>
      <c r="K445" s="5" t="n"/>
      <c r="O445">
        <f>VALUE(LEFT($M445,1))*VALUE(LEFT($N445,1))</f>
        <v/>
      </c>
      <c r="P445">
        <f>IF($O445&gt;=20,"Critical",IF($O445&gt;=15,"High",IF($O445&gt;=10,"Medium",IF($O445&gt;=5,"Low",IF($O445&gt;0,"Very Low","")))))</f>
        <v/>
      </c>
      <c r="S445" s="5" t="n"/>
      <c r="V445" s="5" t="n"/>
      <c r="W445" s="6" t="n"/>
      <c r="X445" s="6" t="n"/>
      <c r="Z445" s="5" t="n"/>
    </row>
    <row r="446">
      <c r="D446" s="5" t="n"/>
      <c r="E446" s="5" t="n"/>
      <c r="F446" s="5" t="n"/>
      <c r="I446">
        <f>VALUE(LEFT($G446,1))*VALUE(LEFT($H446,1))</f>
        <v/>
      </c>
      <c r="J446">
        <f>IF($I446&gt;=20,"Critical",IF($I446&gt;=15,"High",IF($I446&gt;=10,"Medium",IF($I446&gt;=5,"Low",IF($I446&gt;0,"Very Low","")))))</f>
        <v/>
      </c>
      <c r="K446" s="5" t="n"/>
      <c r="O446">
        <f>VALUE(LEFT($M446,1))*VALUE(LEFT($N446,1))</f>
        <v/>
      </c>
      <c r="P446">
        <f>IF($O446&gt;=20,"Critical",IF($O446&gt;=15,"High",IF($O446&gt;=10,"Medium",IF($O446&gt;=5,"Low",IF($O446&gt;0,"Very Low","")))))</f>
        <v/>
      </c>
      <c r="S446" s="5" t="n"/>
      <c r="V446" s="5" t="n"/>
      <c r="W446" s="6" t="n"/>
      <c r="X446" s="6" t="n"/>
      <c r="Z446" s="5" t="n"/>
    </row>
    <row r="447">
      <c r="D447" s="5" t="n"/>
      <c r="E447" s="5" t="n"/>
      <c r="F447" s="5" t="n"/>
      <c r="I447">
        <f>VALUE(LEFT($G447,1))*VALUE(LEFT($H447,1))</f>
        <v/>
      </c>
      <c r="J447">
        <f>IF($I447&gt;=20,"Critical",IF($I447&gt;=15,"High",IF($I447&gt;=10,"Medium",IF($I447&gt;=5,"Low",IF($I447&gt;0,"Very Low","")))))</f>
        <v/>
      </c>
      <c r="K447" s="5" t="n"/>
      <c r="O447">
        <f>VALUE(LEFT($M447,1))*VALUE(LEFT($N447,1))</f>
        <v/>
      </c>
      <c r="P447">
        <f>IF($O447&gt;=20,"Critical",IF($O447&gt;=15,"High",IF($O447&gt;=10,"Medium",IF($O447&gt;=5,"Low",IF($O447&gt;0,"Very Low","")))))</f>
        <v/>
      </c>
      <c r="S447" s="5" t="n"/>
      <c r="V447" s="5" t="n"/>
      <c r="W447" s="6" t="n"/>
      <c r="X447" s="6" t="n"/>
      <c r="Z447" s="5" t="n"/>
    </row>
    <row r="448">
      <c r="D448" s="5" t="n"/>
      <c r="E448" s="5" t="n"/>
      <c r="F448" s="5" t="n"/>
      <c r="I448">
        <f>VALUE(LEFT($G448,1))*VALUE(LEFT($H448,1))</f>
        <v/>
      </c>
      <c r="J448">
        <f>IF($I448&gt;=20,"Critical",IF($I448&gt;=15,"High",IF($I448&gt;=10,"Medium",IF($I448&gt;=5,"Low",IF($I448&gt;0,"Very Low","")))))</f>
        <v/>
      </c>
      <c r="K448" s="5" t="n"/>
      <c r="O448">
        <f>VALUE(LEFT($M448,1))*VALUE(LEFT($N448,1))</f>
        <v/>
      </c>
      <c r="P448">
        <f>IF($O448&gt;=20,"Critical",IF($O448&gt;=15,"High",IF($O448&gt;=10,"Medium",IF($O448&gt;=5,"Low",IF($O448&gt;0,"Very Low","")))))</f>
        <v/>
      </c>
      <c r="S448" s="5" t="n"/>
      <c r="V448" s="5" t="n"/>
      <c r="W448" s="6" t="n"/>
      <c r="X448" s="6" t="n"/>
      <c r="Z448" s="5" t="n"/>
    </row>
    <row r="449">
      <c r="D449" s="5" t="n"/>
      <c r="E449" s="5" t="n"/>
      <c r="F449" s="5" t="n"/>
      <c r="I449">
        <f>VALUE(LEFT($G449,1))*VALUE(LEFT($H449,1))</f>
        <v/>
      </c>
      <c r="J449">
        <f>IF($I449&gt;=20,"Critical",IF($I449&gt;=15,"High",IF($I449&gt;=10,"Medium",IF($I449&gt;=5,"Low",IF($I449&gt;0,"Very Low","")))))</f>
        <v/>
      </c>
      <c r="K449" s="5" t="n"/>
      <c r="O449">
        <f>VALUE(LEFT($M449,1))*VALUE(LEFT($N449,1))</f>
        <v/>
      </c>
      <c r="P449">
        <f>IF($O449&gt;=20,"Critical",IF($O449&gt;=15,"High",IF($O449&gt;=10,"Medium",IF($O449&gt;=5,"Low",IF($O449&gt;0,"Very Low","")))))</f>
        <v/>
      </c>
      <c r="S449" s="5" t="n"/>
      <c r="V449" s="5" t="n"/>
      <c r="W449" s="6" t="n"/>
      <c r="X449" s="6" t="n"/>
      <c r="Z449" s="5" t="n"/>
    </row>
    <row r="450">
      <c r="D450" s="5" t="n"/>
      <c r="E450" s="5" t="n"/>
      <c r="F450" s="5" t="n"/>
      <c r="I450">
        <f>VALUE(LEFT($G450,1))*VALUE(LEFT($H450,1))</f>
        <v/>
      </c>
      <c r="J450">
        <f>IF($I450&gt;=20,"Critical",IF($I450&gt;=15,"High",IF($I450&gt;=10,"Medium",IF($I450&gt;=5,"Low",IF($I450&gt;0,"Very Low","")))))</f>
        <v/>
      </c>
      <c r="K450" s="5" t="n"/>
      <c r="O450">
        <f>VALUE(LEFT($M450,1))*VALUE(LEFT($N450,1))</f>
        <v/>
      </c>
      <c r="P450">
        <f>IF($O450&gt;=20,"Critical",IF($O450&gt;=15,"High",IF($O450&gt;=10,"Medium",IF($O450&gt;=5,"Low",IF($O450&gt;0,"Very Low","")))))</f>
        <v/>
      </c>
      <c r="S450" s="5" t="n"/>
      <c r="V450" s="5" t="n"/>
      <c r="W450" s="6" t="n"/>
      <c r="X450" s="6" t="n"/>
      <c r="Z450" s="5" t="n"/>
    </row>
    <row r="451">
      <c r="D451" s="5" t="n"/>
      <c r="E451" s="5" t="n"/>
      <c r="F451" s="5" t="n"/>
      <c r="I451">
        <f>VALUE(LEFT($G451,1))*VALUE(LEFT($H451,1))</f>
        <v/>
      </c>
      <c r="J451">
        <f>IF($I451&gt;=20,"Critical",IF($I451&gt;=15,"High",IF($I451&gt;=10,"Medium",IF($I451&gt;=5,"Low",IF($I451&gt;0,"Very Low","")))))</f>
        <v/>
      </c>
      <c r="K451" s="5" t="n"/>
      <c r="O451">
        <f>VALUE(LEFT($M451,1))*VALUE(LEFT($N451,1))</f>
        <v/>
      </c>
      <c r="P451">
        <f>IF($O451&gt;=20,"Critical",IF($O451&gt;=15,"High",IF($O451&gt;=10,"Medium",IF($O451&gt;=5,"Low",IF($O451&gt;0,"Very Low","")))))</f>
        <v/>
      </c>
      <c r="S451" s="5" t="n"/>
      <c r="V451" s="5" t="n"/>
      <c r="W451" s="6" t="n"/>
      <c r="X451" s="6" t="n"/>
      <c r="Z451" s="5" t="n"/>
    </row>
    <row r="452">
      <c r="D452" s="5" t="n"/>
      <c r="E452" s="5" t="n"/>
      <c r="F452" s="5" t="n"/>
      <c r="I452">
        <f>VALUE(LEFT($G452,1))*VALUE(LEFT($H452,1))</f>
        <v/>
      </c>
      <c r="J452">
        <f>IF($I452&gt;=20,"Critical",IF($I452&gt;=15,"High",IF($I452&gt;=10,"Medium",IF($I452&gt;=5,"Low",IF($I452&gt;0,"Very Low","")))))</f>
        <v/>
      </c>
      <c r="K452" s="5" t="n"/>
      <c r="O452">
        <f>VALUE(LEFT($M452,1))*VALUE(LEFT($N452,1))</f>
        <v/>
      </c>
      <c r="P452">
        <f>IF($O452&gt;=20,"Critical",IF($O452&gt;=15,"High",IF($O452&gt;=10,"Medium",IF($O452&gt;=5,"Low",IF($O452&gt;0,"Very Low","")))))</f>
        <v/>
      </c>
      <c r="S452" s="5" t="n"/>
      <c r="V452" s="5" t="n"/>
      <c r="W452" s="6" t="n"/>
      <c r="X452" s="6" t="n"/>
      <c r="Z452" s="5" t="n"/>
    </row>
    <row r="453">
      <c r="D453" s="5" t="n"/>
      <c r="E453" s="5" t="n"/>
      <c r="F453" s="5" t="n"/>
      <c r="I453">
        <f>VALUE(LEFT($G453,1))*VALUE(LEFT($H453,1))</f>
        <v/>
      </c>
      <c r="J453">
        <f>IF($I453&gt;=20,"Critical",IF($I453&gt;=15,"High",IF($I453&gt;=10,"Medium",IF($I453&gt;=5,"Low",IF($I453&gt;0,"Very Low","")))))</f>
        <v/>
      </c>
      <c r="K453" s="5" t="n"/>
      <c r="O453">
        <f>VALUE(LEFT($M453,1))*VALUE(LEFT($N453,1))</f>
        <v/>
      </c>
      <c r="P453">
        <f>IF($O453&gt;=20,"Critical",IF($O453&gt;=15,"High",IF($O453&gt;=10,"Medium",IF($O453&gt;=5,"Low",IF($O453&gt;0,"Very Low","")))))</f>
        <v/>
      </c>
      <c r="S453" s="5" t="n"/>
      <c r="V453" s="5" t="n"/>
      <c r="W453" s="6" t="n"/>
      <c r="X453" s="6" t="n"/>
      <c r="Z453" s="5" t="n"/>
    </row>
    <row r="454">
      <c r="D454" s="5" t="n"/>
      <c r="E454" s="5" t="n"/>
      <c r="F454" s="5" t="n"/>
      <c r="I454">
        <f>VALUE(LEFT($G454,1))*VALUE(LEFT($H454,1))</f>
        <v/>
      </c>
      <c r="J454">
        <f>IF($I454&gt;=20,"Critical",IF($I454&gt;=15,"High",IF($I454&gt;=10,"Medium",IF($I454&gt;=5,"Low",IF($I454&gt;0,"Very Low","")))))</f>
        <v/>
      </c>
      <c r="K454" s="5" t="n"/>
      <c r="O454">
        <f>VALUE(LEFT($M454,1))*VALUE(LEFT($N454,1))</f>
        <v/>
      </c>
      <c r="P454">
        <f>IF($O454&gt;=20,"Critical",IF($O454&gt;=15,"High",IF($O454&gt;=10,"Medium",IF($O454&gt;=5,"Low",IF($O454&gt;0,"Very Low","")))))</f>
        <v/>
      </c>
      <c r="S454" s="5" t="n"/>
      <c r="V454" s="5" t="n"/>
      <c r="W454" s="6" t="n"/>
      <c r="X454" s="6" t="n"/>
      <c r="Z454" s="5" t="n"/>
    </row>
    <row r="455">
      <c r="D455" s="5" t="n"/>
      <c r="E455" s="5" t="n"/>
      <c r="F455" s="5" t="n"/>
      <c r="I455">
        <f>VALUE(LEFT($G455,1))*VALUE(LEFT($H455,1))</f>
        <v/>
      </c>
      <c r="J455">
        <f>IF($I455&gt;=20,"Critical",IF($I455&gt;=15,"High",IF($I455&gt;=10,"Medium",IF($I455&gt;=5,"Low",IF($I455&gt;0,"Very Low","")))))</f>
        <v/>
      </c>
      <c r="K455" s="5" t="n"/>
      <c r="O455">
        <f>VALUE(LEFT($M455,1))*VALUE(LEFT($N455,1))</f>
        <v/>
      </c>
      <c r="P455">
        <f>IF($O455&gt;=20,"Critical",IF($O455&gt;=15,"High",IF($O455&gt;=10,"Medium",IF($O455&gt;=5,"Low",IF($O455&gt;0,"Very Low","")))))</f>
        <v/>
      </c>
      <c r="S455" s="5" t="n"/>
      <c r="V455" s="5" t="n"/>
      <c r="W455" s="6" t="n"/>
      <c r="X455" s="6" t="n"/>
      <c r="Z455" s="5" t="n"/>
    </row>
    <row r="456">
      <c r="D456" s="5" t="n"/>
      <c r="E456" s="5" t="n"/>
      <c r="F456" s="5" t="n"/>
      <c r="I456">
        <f>VALUE(LEFT($G456,1))*VALUE(LEFT($H456,1))</f>
        <v/>
      </c>
      <c r="J456">
        <f>IF($I456&gt;=20,"Critical",IF($I456&gt;=15,"High",IF($I456&gt;=10,"Medium",IF($I456&gt;=5,"Low",IF($I456&gt;0,"Very Low","")))))</f>
        <v/>
      </c>
      <c r="K456" s="5" t="n"/>
      <c r="O456">
        <f>VALUE(LEFT($M456,1))*VALUE(LEFT($N456,1))</f>
        <v/>
      </c>
      <c r="P456">
        <f>IF($O456&gt;=20,"Critical",IF($O456&gt;=15,"High",IF($O456&gt;=10,"Medium",IF($O456&gt;=5,"Low",IF($O456&gt;0,"Very Low","")))))</f>
        <v/>
      </c>
      <c r="S456" s="5" t="n"/>
      <c r="V456" s="5" t="n"/>
      <c r="W456" s="6" t="n"/>
      <c r="X456" s="6" t="n"/>
      <c r="Z456" s="5" t="n"/>
    </row>
    <row r="457">
      <c r="D457" s="5" t="n"/>
      <c r="E457" s="5" t="n"/>
      <c r="F457" s="5" t="n"/>
      <c r="I457">
        <f>VALUE(LEFT($G457,1))*VALUE(LEFT($H457,1))</f>
        <v/>
      </c>
      <c r="J457">
        <f>IF($I457&gt;=20,"Critical",IF($I457&gt;=15,"High",IF($I457&gt;=10,"Medium",IF($I457&gt;=5,"Low",IF($I457&gt;0,"Very Low","")))))</f>
        <v/>
      </c>
      <c r="K457" s="5" t="n"/>
      <c r="O457">
        <f>VALUE(LEFT($M457,1))*VALUE(LEFT($N457,1))</f>
        <v/>
      </c>
      <c r="P457">
        <f>IF($O457&gt;=20,"Critical",IF($O457&gt;=15,"High",IF($O457&gt;=10,"Medium",IF($O457&gt;=5,"Low",IF($O457&gt;0,"Very Low","")))))</f>
        <v/>
      </c>
      <c r="S457" s="5" t="n"/>
      <c r="V457" s="5" t="n"/>
      <c r="W457" s="6" t="n"/>
      <c r="X457" s="6" t="n"/>
      <c r="Z457" s="5" t="n"/>
    </row>
    <row r="458">
      <c r="D458" s="5" t="n"/>
      <c r="E458" s="5" t="n"/>
      <c r="F458" s="5" t="n"/>
      <c r="I458">
        <f>VALUE(LEFT($G458,1))*VALUE(LEFT($H458,1))</f>
        <v/>
      </c>
      <c r="J458">
        <f>IF($I458&gt;=20,"Critical",IF($I458&gt;=15,"High",IF($I458&gt;=10,"Medium",IF($I458&gt;=5,"Low",IF($I458&gt;0,"Very Low","")))))</f>
        <v/>
      </c>
      <c r="K458" s="5" t="n"/>
      <c r="O458">
        <f>VALUE(LEFT($M458,1))*VALUE(LEFT($N458,1))</f>
        <v/>
      </c>
      <c r="P458">
        <f>IF($O458&gt;=20,"Critical",IF($O458&gt;=15,"High",IF($O458&gt;=10,"Medium",IF($O458&gt;=5,"Low",IF($O458&gt;0,"Very Low","")))))</f>
        <v/>
      </c>
      <c r="S458" s="5" t="n"/>
      <c r="V458" s="5" t="n"/>
      <c r="W458" s="6" t="n"/>
      <c r="X458" s="6" t="n"/>
      <c r="Z458" s="5" t="n"/>
    </row>
    <row r="459">
      <c r="D459" s="5" t="n"/>
      <c r="E459" s="5" t="n"/>
      <c r="F459" s="5" t="n"/>
      <c r="I459">
        <f>VALUE(LEFT($G459,1))*VALUE(LEFT($H459,1))</f>
        <v/>
      </c>
      <c r="J459">
        <f>IF($I459&gt;=20,"Critical",IF($I459&gt;=15,"High",IF($I459&gt;=10,"Medium",IF($I459&gt;=5,"Low",IF($I459&gt;0,"Very Low","")))))</f>
        <v/>
      </c>
      <c r="K459" s="5" t="n"/>
      <c r="O459">
        <f>VALUE(LEFT($M459,1))*VALUE(LEFT($N459,1))</f>
        <v/>
      </c>
      <c r="P459">
        <f>IF($O459&gt;=20,"Critical",IF($O459&gt;=15,"High",IF($O459&gt;=10,"Medium",IF($O459&gt;=5,"Low",IF($O459&gt;0,"Very Low","")))))</f>
        <v/>
      </c>
      <c r="S459" s="5" t="n"/>
      <c r="V459" s="5" t="n"/>
      <c r="W459" s="6" t="n"/>
      <c r="X459" s="6" t="n"/>
      <c r="Z459" s="5" t="n"/>
    </row>
    <row r="460">
      <c r="D460" s="5" t="n"/>
      <c r="E460" s="5" t="n"/>
      <c r="F460" s="5" t="n"/>
      <c r="I460">
        <f>VALUE(LEFT($G460,1))*VALUE(LEFT($H460,1))</f>
        <v/>
      </c>
      <c r="J460">
        <f>IF($I460&gt;=20,"Critical",IF($I460&gt;=15,"High",IF($I460&gt;=10,"Medium",IF($I460&gt;=5,"Low",IF($I460&gt;0,"Very Low","")))))</f>
        <v/>
      </c>
      <c r="K460" s="5" t="n"/>
      <c r="O460">
        <f>VALUE(LEFT($M460,1))*VALUE(LEFT($N460,1))</f>
        <v/>
      </c>
      <c r="P460">
        <f>IF($O460&gt;=20,"Critical",IF($O460&gt;=15,"High",IF($O460&gt;=10,"Medium",IF($O460&gt;=5,"Low",IF($O460&gt;0,"Very Low","")))))</f>
        <v/>
      </c>
      <c r="S460" s="5" t="n"/>
      <c r="V460" s="5" t="n"/>
      <c r="W460" s="6" t="n"/>
      <c r="X460" s="6" t="n"/>
      <c r="Z460" s="5" t="n"/>
    </row>
    <row r="461">
      <c r="D461" s="5" t="n"/>
      <c r="E461" s="5" t="n"/>
      <c r="F461" s="5" t="n"/>
      <c r="I461">
        <f>VALUE(LEFT($G461,1))*VALUE(LEFT($H461,1))</f>
        <v/>
      </c>
      <c r="J461">
        <f>IF($I461&gt;=20,"Critical",IF($I461&gt;=15,"High",IF($I461&gt;=10,"Medium",IF($I461&gt;=5,"Low",IF($I461&gt;0,"Very Low","")))))</f>
        <v/>
      </c>
      <c r="K461" s="5" t="n"/>
      <c r="O461">
        <f>VALUE(LEFT($M461,1))*VALUE(LEFT($N461,1))</f>
        <v/>
      </c>
      <c r="P461">
        <f>IF($O461&gt;=20,"Critical",IF($O461&gt;=15,"High",IF($O461&gt;=10,"Medium",IF($O461&gt;=5,"Low",IF($O461&gt;0,"Very Low","")))))</f>
        <v/>
      </c>
      <c r="S461" s="5" t="n"/>
      <c r="V461" s="5" t="n"/>
      <c r="W461" s="6" t="n"/>
      <c r="X461" s="6" t="n"/>
      <c r="Z461" s="5" t="n"/>
    </row>
    <row r="462">
      <c r="D462" s="5" t="n"/>
      <c r="E462" s="5" t="n"/>
      <c r="F462" s="5" t="n"/>
      <c r="I462">
        <f>VALUE(LEFT($G462,1))*VALUE(LEFT($H462,1))</f>
        <v/>
      </c>
      <c r="J462">
        <f>IF($I462&gt;=20,"Critical",IF($I462&gt;=15,"High",IF($I462&gt;=10,"Medium",IF($I462&gt;=5,"Low",IF($I462&gt;0,"Very Low","")))))</f>
        <v/>
      </c>
      <c r="K462" s="5" t="n"/>
      <c r="O462">
        <f>VALUE(LEFT($M462,1))*VALUE(LEFT($N462,1))</f>
        <v/>
      </c>
      <c r="P462">
        <f>IF($O462&gt;=20,"Critical",IF($O462&gt;=15,"High",IF($O462&gt;=10,"Medium",IF($O462&gt;=5,"Low",IF($O462&gt;0,"Very Low","")))))</f>
        <v/>
      </c>
      <c r="S462" s="5" t="n"/>
      <c r="V462" s="5" t="n"/>
      <c r="W462" s="6" t="n"/>
      <c r="X462" s="6" t="n"/>
      <c r="Z462" s="5" t="n"/>
    </row>
    <row r="463">
      <c r="D463" s="5" t="n"/>
      <c r="E463" s="5" t="n"/>
      <c r="F463" s="5" t="n"/>
      <c r="I463">
        <f>VALUE(LEFT($G463,1))*VALUE(LEFT($H463,1))</f>
        <v/>
      </c>
      <c r="J463">
        <f>IF($I463&gt;=20,"Critical",IF($I463&gt;=15,"High",IF($I463&gt;=10,"Medium",IF($I463&gt;=5,"Low",IF($I463&gt;0,"Very Low","")))))</f>
        <v/>
      </c>
      <c r="K463" s="5" t="n"/>
      <c r="O463">
        <f>VALUE(LEFT($M463,1))*VALUE(LEFT($N463,1))</f>
        <v/>
      </c>
      <c r="P463">
        <f>IF($O463&gt;=20,"Critical",IF($O463&gt;=15,"High",IF($O463&gt;=10,"Medium",IF($O463&gt;=5,"Low",IF($O463&gt;0,"Very Low","")))))</f>
        <v/>
      </c>
      <c r="S463" s="5" t="n"/>
      <c r="V463" s="5" t="n"/>
      <c r="W463" s="6" t="n"/>
      <c r="X463" s="6" t="n"/>
      <c r="Z463" s="5" t="n"/>
    </row>
    <row r="464">
      <c r="D464" s="5" t="n"/>
      <c r="E464" s="5" t="n"/>
      <c r="F464" s="5" t="n"/>
      <c r="I464">
        <f>VALUE(LEFT($G464,1))*VALUE(LEFT($H464,1))</f>
        <v/>
      </c>
      <c r="J464">
        <f>IF($I464&gt;=20,"Critical",IF($I464&gt;=15,"High",IF($I464&gt;=10,"Medium",IF($I464&gt;=5,"Low",IF($I464&gt;0,"Very Low","")))))</f>
        <v/>
      </c>
      <c r="K464" s="5" t="n"/>
      <c r="O464">
        <f>VALUE(LEFT($M464,1))*VALUE(LEFT($N464,1))</f>
        <v/>
      </c>
      <c r="P464">
        <f>IF($O464&gt;=20,"Critical",IF($O464&gt;=15,"High",IF($O464&gt;=10,"Medium",IF($O464&gt;=5,"Low",IF($O464&gt;0,"Very Low","")))))</f>
        <v/>
      </c>
      <c r="S464" s="5" t="n"/>
      <c r="V464" s="5" t="n"/>
      <c r="W464" s="6" t="n"/>
      <c r="X464" s="6" t="n"/>
      <c r="Z464" s="5" t="n"/>
    </row>
    <row r="465">
      <c r="D465" s="5" t="n"/>
      <c r="E465" s="5" t="n"/>
      <c r="F465" s="5" t="n"/>
      <c r="I465">
        <f>VALUE(LEFT($G465,1))*VALUE(LEFT($H465,1))</f>
        <v/>
      </c>
      <c r="J465">
        <f>IF($I465&gt;=20,"Critical",IF($I465&gt;=15,"High",IF($I465&gt;=10,"Medium",IF($I465&gt;=5,"Low",IF($I465&gt;0,"Very Low","")))))</f>
        <v/>
      </c>
      <c r="K465" s="5" t="n"/>
      <c r="O465">
        <f>VALUE(LEFT($M465,1))*VALUE(LEFT($N465,1))</f>
        <v/>
      </c>
      <c r="P465">
        <f>IF($O465&gt;=20,"Critical",IF($O465&gt;=15,"High",IF($O465&gt;=10,"Medium",IF($O465&gt;=5,"Low",IF($O465&gt;0,"Very Low","")))))</f>
        <v/>
      </c>
      <c r="S465" s="5" t="n"/>
      <c r="V465" s="5" t="n"/>
      <c r="W465" s="6" t="n"/>
      <c r="X465" s="6" t="n"/>
      <c r="Z465" s="5" t="n"/>
    </row>
    <row r="466">
      <c r="D466" s="5" t="n"/>
      <c r="E466" s="5" t="n"/>
      <c r="F466" s="5" t="n"/>
      <c r="I466">
        <f>VALUE(LEFT($G466,1))*VALUE(LEFT($H466,1))</f>
        <v/>
      </c>
      <c r="J466">
        <f>IF($I466&gt;=20,"Critical",IF($I466&gt;=15,"High",IF($I466&gt;=10,"Medium",IF($I466&gt;=5,"Low",IF($I466&gt;0,"Very Low","")))))</f>
        <v/>
      </c>
      <c r="K466" s="5" t="n"/>
      <c r="O466">
        <f>VALUE(LEFT($M466,1))*VALUE(LEFT($N466,1))</f>
        <v/>
      </c>
      <c r="P466">
        <f>IF($O466&gt;=20,"Critical",IF($O466&gt;=15,"High",IF($O466&gt;=10,"Medium",IF($O466&gt;=5,"Low",IF($O466&gt;0,"Very Low","")))))</f>
        <v/>
      </c>
      <c r="S466" s="5" t="n"/>
      <c r="V466" s="5" t="n"/>
      <c r="W466" s="6" t="n"/>
      <c r="X466" s="6" t="n"/>
      <c r="Z466" s="5" t="n"/>
    </row>
    <row r="467">
      <c r="D467" s="5" t="n"/>
      <c r="E467" s="5" t="n"/>
      <c r="F467" s="5" t="n"/>
      <c r="I467">
        <f>VALUE(LEFT($G467,1))*VALUE(LEFT($H467,1))</f>
        <v/>
      </c>
      <c r="J467">
        <f>IF($I467&gt;=20,"Critical",IF($I467&gt;=15,"High",IF($I467&gt;=10,"Medium",IF($I467&gt;=5,"Low",IF($I467&gt;0,"Very Low","")))))</f>
        <v/>
      </c>
      <c r="K467" s="5" t="n"/>
      <c r="O467">
        <f>VALUE(LEFT($M467,1))*VALUE(LEFT($N467,1))</f>
        <v/>
      </c>
      <c r="P467">
        <f>IF($O467&gt;=20,"Critical",IF($O467&gt;=15,"High",IF($O467&gt;=10,"Medium",IF($O467&gt;=5,"Low",IF($O467&gt;0,"Very Low","")))))</f>
        <v/>
      </c>
      <c r="S467" s="5" t="n"/>
      <c r="V467" s="5" t="n"/>
      <c r="W467" s="6" t="n"/>
      <c r="X467" s="6" t="n"/>
      <c r="Z467" s="5" t="n"/>
    </row>
    <row r="468">
      <c r="D468" s="5" t="n"/>
      <c r="E468" s="5" t="n"/>
      <c r="F468" s="5" t="n"/>
      <c r="I468">
        <f>VALUE(LEFT($G468,1))*VALUE(LEFT($H468,1))</f>
        <v/>
      </c>
      <c r="J468">
        <f>IF($I468&gt;=20,"Critical",IF($I468&gt;=15,"High",IF($I468&gt;=10,"Medium",IF($I468&gt;=5,"Low",IF($I468&gt;0,"Very Low","")))))</f>
        <v/>
      </c>
      <c r="K468" s="5" t="n"/>
      <c r="O468">
        <f>VALUE(LEFT($M468,1))*VALUE(LEFT($N468,1))</f>
        <v/>
      </c>
      <c r="P468">
        <f>IF($O468&gt;=20,"Critical",IF($O468&gt;=15,"High",IF($O468&gt;=10,"Medium",IF($O468&gt;=5,"Low",IF($O468&gt;0,"Very Low","")))))</f>
        <v/>
      </c>
      <c r="S468" s="5" t="n"/>
      <c r="V468" s="5" t="n"/>
      <c r="W468" s="6" t="n"/>
      <c r="X468" s="6" t="n"/>
      <c r="Z468" s="5" t="n"/>
    </row>
    <row r="469">
      <c r="D469" s="5" t="n"/>
      <c r="E469" s="5" t="n"/>
      <c r="F469" s="5" t="n"/>
      <c r="I469">
        <f>VALUE(LEFT($G469,1))*VALUE(LEFT($H469,1))</f>
        <v/>
      </c>
      <c r="J469">
        <f>IF($I469&gt;=20,"Critical",IF($I469&gt;=15,"High",IF($I469&gt;=10,"Medium",IF($I469&gt;=5,"Low",IF($I469&gt;0,"Very Low","")))))</f>
        <v/>
      </c>
      <c r="K469" s="5" t="n"/>
      <c r="O469">
        <f>VALUE(LEFT($M469,1))*VALUE(LEFT($N469,1))</f>
        <v/>
      </c>
      <c r="P469">
        <f>IF($O469&gt;=20,"Critical",IF($O469&gt;=15,"High",IF($O469&gt;=10,"Medium",IF($O469&gt;=5,"Low",IF($O469&gt;0,"Very Low","")))))</f>
        <v/>
      </c>
      <c r="S469" s="5" t="n"/>
      <c r="V469" s="5" t="n"/>
      <c r="W469" s="6" t="n"/>
      <c r="X469" s="6" t="n"/>
      <c r="Z469" s="5" t="n"/>
    </row>
    <row r="470">
      <c r="D470" s="5" t="n"/>
      <c r="E470" s="5" t="n"/>
      <c r="F470" s="5" t="n"/>
      <c r="I470">
        <f>VALUE(LEFT($G470,1))*VALUE(LEFT($H470,1))</f>
        <v/>
      </c>
      <c r="J470">
        <f>IF($I470&gt;=20,"Critical",IF($I470&gt;=15,"High",IF($I470&gt;=10,"Medium",IF($I470&gt;=5,"Low",IF($I470&gt;0,"Very Low","")))))</f>
        <v/>
      </c>
      <c r="K470" s="5" t="n"/>
      <c r="O470">
        <f>VALUE(LEFT($M470,1))*VALUE(LEFT($N470,1))</f>
        <v/>
      </c>
      <c r="P470">
        <f>IF($O470&gt;=20,"Critical",IF($O470&gt;=15,"High",IF($O470&gt;=10,"Medium",IF($O470&gt;=5,"Low",IF($O470&gt;0,"Very Low","")))))</f>
        <v/>
      </c>
      <c r="S470" s="5" t="n"/>
      <c r="V470" s="5" t="n"/>
      <c r="W470" s="6" t="n"/>
      <c r="X470" s="6" t="n"/>
      <c r="Z470" s="5" t="n"/>
    </row>
    <row r="471">
      <c r="D471" s="5" t="n"/>
      <c r="E471" s="5" t="n"/>
      <c r="F471" s="5" t="n"/>
      <c r="I471">
        <f>VALUE(LEFT($G471,1))*VALUE(LEFT($H471,1))</f>
        <v/>
      </c>
      <c r="J471">
        <f>IF($I471&gt;=20,"Critical",IF($I471&gt;=15,"High",IF($I471&gt;=10,"Medium",IF($I471&gt;=5,"Low",IF($I471&gt;0,"Very Low","")))))</f>
        <v/>
      </c>
      <c r="K471" s="5" t="n"/>
      <c r="O471">
        <f>VALUE(LEFT($M471,1))*VALUE(LEFT($N471,1))</f>
        <v/>
      </c>
      <c r="P471">
        <f>IF($O471&gt;=20,"Critical",IF($O471&gt;=15,"High",IF($O471&gt;=10,"Medium",IF($O471&gt;=5,"Low",IF($O471&gt;0,"Very Low","")))))</f>
        <v/>
      </c>
      <c r="S471" s="5" t="n"/>
      <c r="V471" s="5" t="n"/>
      <c r="W471" s="6" t="n"/>
      <c r="X471" s="6" t="n"/>
      <c r="Z471" s="5" t="n"/>
    </row>
    <row r="472">
      <c r="D472" s="5" t="n"/>
      <c r="E472" s="5" t="n"/>
      <c r="F472" s="5" t="n"/>
      <c r="I472">
        <f>VALUE(LEFT($G472,1))*VALUE(LEFT($H472,1))</f>
        <v/>
      </c>
      <c r="J472">
        <f>IF($I472&gt;=20,"Critical",IF($I472&gt;=15,"High",IF($I472&gt;=10,"Medium",IF($I472&gt;=5,"Low",IF($I472&gt;0,"Very Low","")))))</f>
        <v/>
      </c>
      <c r="K472" s="5" t="n"/>
      <c r="O472">
        <f>VALUE(LEFT($M472,1))*VALUE(LEFT($N472,1))</f>
        <v/>
      </c>
      <c r="P472">
        <f>IF($O472&gt;=20,"Critical",IF($O472&gt;=15,"High",IF($O472&gt;=10,"Medium",IF($O472&gt;=5,"Low",IF($O472&gt;0,"Very Low","")))))</f>
        <v/>
      </c>
      <c r="S472" s="5" t="n"/>
      <c r="V472" s="5" t="n"/>
      <c r="W472" s="6" t="n"/>
      <c r="X472" s="6" t="n"/>
      <c r="Z472" s="5" t="n"/>
    </row>
    <row r="473">
      <c r="D473" s="5" t="n"/>
      <c r="E473" s="5" t="n"/>
      <c r="F473" s="5" t="n"/>
      <c r="I473">
        <f>VALUE(LEFT($G473,1))*VALUE(LEFT($H473,1))</f>
        <v/>
      </c>
      <c r="J473">
        <f>IF($I473&gt;=20,"Critical",IF($I473&gt;=15,"High",IF($I473&gt;=10,"Medium",IF($I473&gt;=5,"Low",IF($I473&gt;0,"Very Low","")))))</f>
        <v/>
      </c>
      <c r="K473" s="5" t="n"/>
      <c r="O473">
        <f>VALUE(LEFT($M473,1))*VALUE(LEFT($N473,1))</f>
        <v/>
      </c>
      <c r="P473">
        <f>IF($O473&gt;=20,"Critical",IF($O473&gt;=15,"High",IF($O473&gt;=10,"Medium",IF($O473&gt;=5,"Low",IF($O473&gt;0,"Very Low","")))))</f>
        <v/>
      </c>
      <c r="S473" s="5" t="n"/>
      <c r="V473" s="5" t="n"/>
      <c r="W473" s="6" t="n"/>
      <c r="X473" s="6" t="n"/>
      <c r="Z473" s="5" t="n"/>
    </row>
    <row r="474">
      <c r="D474" s="5" t="n"/>
      <c r="E474" s="5" t="n"/>
      <c r="F474" s="5" t="n"/>
      <c r="I474">
        <f>VALUE(LEFT($G474,1))*VALUE(LEFT($H474,1))</f>
        <v/>
      </c>
      <c r="J474">
        <f>IF($I474&gt;=20,"Critical",IF($I474&gt;=15,"High",IF($I474&gt;=10,"Medium",IF($I474&gt;=5,"Low",IF($I474&gt;0,"Very Low","")))))</f>
        <v/>
      </c>
      <c r="K474" s="5" t="n"/>
      <c r="O474">
        <f>VALUE(LEFT($M474,1))*VALUE(LEFT($N474,1))</f>
        <v/>
      </c>
      <c r="P474">
        <f>IF($O474&gt;=20,"Critical",IF($O474&gt;=15,"High",IF($O474&gt;=10,"Medium",IF($O474&gt;=5,"Low",IF($O474&gt;0,"Very Low","")))))</f>
        <v/>
      </c>
      <c r="S474" s="5" t="n"/>
      <c r="V474" s="5" t="n"/>
      <c r="W474" s="6" t="n"/>
      <c r="X474" s="6" t="n"/>
      <c r="Z474" s="5" t="n"/>
    </row>
    <row r="475">
      <c r="D475" s="5" t="n"/>
      <c r="E475" s="5" t="n"/>
      <c r="F475" s="5" t="n"/>
      <c r="I475">
        <f>VALUE(LEFT($G475,1))*VALUE(LEFT($H475,1))</f>
        <v/>
      </c>
      <c r="J475">
        <f>IF($I475&gt;=20,"Critical",IF($I475&gt;=15,"High",IF($I475&gt;=10,"Medium",IF($I475&gt;=5,"Low",IF($I475&gt;0,"Very Low","")))))</f>
        <v/>
      </c>
      <c r="K475" s="5" t="n"/>
      <c r="O475">
        <f>VALUE(LEFT($M475,1))*VALUE(LEFT($N475,1))</f>
        <v/>
      </c>
      <c r="P475">
        <f>IF($O475&gt;=20,"Critical",IF($O475&gt;=15,"High",IF($O475&gt;=10,"Medium",IF($O475&gt;=5,"Low",IF($O475&gt;0,"Very Low","")))))</f>
        <v/>
      </c>
      <c r="S475" s="5" t="n"/>
      <c r="V475" s="5" t="n"/>
      <c r="W475" s="6" t="n"/>
      <c r="X475" s="6" t="n"/>
      <c r="Z475" s="5" t="n"/>
    </row>
    <row r="476">
      <c r="D476" s="5" t="n"/>
      <c r="E476" s="5" t="n"/>
      <c r="F476" s="5" t="n"/>
      <c r="I476">
        <f>VALUE(LEFT($G476,1))*VALUE(LEFT($H476,1))</f>
        <v/>
      </c>
      <c r="J476">
        <f>IF($I476&gt;=20,"Critical",IF($I476&gt;=15,"High",IF($I476&gt;=10,"Medium",IF($I476&gt;=5,"Low",IF($I476&gt;0,"Very Low","")))))</f>
        <v/>
      </c>
      <c r="K476" s="5" t="n"/>
      <c r="O476">
        <f>VALUE(LEFT($M476,1))*VALUE(LEFT($N476,1))</f>
        <v/>
      </c>
      <c r="P476">
        <f>IF($O476&gt;=20,"Critical",IF($O476&gt;=15,"High",IF($O476&gt;=10,"Medium",IF($O476&gt;=5,"Low",IF($O476&gt;0,"Very Low","")))))</f>
        <v/>
      </c>
      <c r="S476" s="5" t="n"/>
      <c r="V476" s="5" t="n"/>
      <c r="W476" s="6" t="n"/>
      <c r="X476" s="6" t="n"/>
      <c r="Z476" s="5" t="n"/>
    </row>
    <row r="477">
      <c r="D477" s="5" t="n"/>
      <c r="E477" s="5" t="n"/>
      <c r="F477" s="5" t="n"/>
      <c r="I477">
        <f>VALUE(LEFT($G477,1))*VALUE(LEFT($H477,1))</f>
        <v/>
      </c>
      <c r="J477">
        <f>IF($I477&gt;=20,"Critical",IF($I477&gt;=15,"High",IF($I477&gt;=10,"Medium",IF($I477&gt;=5,"Low",IF($I477&gt;0,"Very Low","")))))</f>
        <v/>
      </c>
      <c r="K477" s="5" t="n"/>
      <c r="O477">
        <f>VALUE(LEFT($M477,1))*VALUE(LEFT($N477,1))</f>
        <v/>
      </c>
      <c r="P477">
        <f>IF($O477&gt;=20,"Critical",IF($O477&gt;=15,"High",IF($O477&gt;=10,"Medium",IF($O477&gt;=5,"Low",IF($O477&gt;0,"Very Low","")))))</f>
        <v/>
      </c>
      <c r="S477" s="5" t="n"/>
      <c r="V477" s="5" t="n"/>
      <c r="W477" s="6" t="n"/>
      <c r="X477" s="6" t="n"/>
      <c r="Z477" s="5" t="n"/>
    </row>
    <row r="478">
      <c r="D478" s="5" t="n"/>
      <c r="E478" s="5" t="n"/>
      <c r="F478" s="5" t="n"/>
      <c r="I478">
        <f>VALUE(LEFT($G478,1))*VALUE(LEFT($H478,1))</f>
        <v/>
      </c>
      <c r="J478">
        <f>IF($I478&gt;=20,"Critical",IF($I478&gt;=15,"High",IF($I478&gt;=10,"Medium",IF($I478&gt;=5,"Low",IF($I478&gt;0,"Very Low","")))))</f>
        <v/>
      </c>
      <c r="K478" s="5" t="n"/>
      <c r="O478">
        <f>VALUE(LEFT($M478,1))*VALUE(LEFT($N478,1))</f>
        <v/>
      </c>
      <c r="P478">
        <f>IF($O478&gt;=20,"Critical",IF($O478&gt;=15,"High",IF($O478&gt;=10,"Medium",IF($O478&gt;=5,"Low",IF($O478&gt;0,"Very Low","")))))</f>
        <v/>
      </c>
      <c r="S478" s="5" t="n"/>
      <c r="V478" s="5" t="n"/>
      <c r="W478" s="6" t="n"/>
      <c r="X478" s="6" t="n"/>
      <c r="Z478" s="5" t="n"/>
    </row>
    <row r="479">
      <c r="D479" s="5" t="n"/>
      <c r="E479" s="5" t="n"/>
      <c r="F479" s="5" t="n"/>
      <c r="I479">
        <f>VALUE(LEFT($G479,1))*VALUE(LEFT($H479,1))</f>
        <v/>
      </c>
      <c r="J479">
        <f>IF($I479&gt;=20,"Critical",IF($I479&gt;=15,"High",IF($I479&gt;=10,"Medium",IF($I479&gt;=5,"Low",IF($I479&gt;0,"Very Low","")))))</f>
        <v/>
      </c>
      <c r="K479" s="5" t="n"/>
      <c r="O479">
        <f>VALUE(LEFT($M479,1))*VALUE(LEFT($N479,1))</f>
        <v/>
      </c>
      <c r="P479">
        <f>IF($O479&gt;=20,"Critical",IF($O479&gt;=15,"High",IF($O479&gt;=10,"Medium",IF($O479&gt;=5,"Low",IF($O479&gt;0,"Very Low","")))))</f>
        <v/>
      </c>
      <c r="S479" s="5" t="n"/>
      <c r="V479" s="5" t="n"/>
      <c r="W479" s="6" t="n"/>
      <c r="X479" s="6" t="n"/>
      <c r="Z479" s="5" t="n"/>
    </row>
    <row r="480">
      <c r="D480" s="5" t="n"/>
      <c r="E480" s="5" t="n"/>
      <c r="F480" s="5" t="n"/>
      <c r="I480">
        <f>VALUE(LEFT($G480,1))*VALUE(LEFT($H480,1))</f>
        <v/>
      </c>
      <c r="J480">
        <f>IF($I480&gt;=20,"Critical",IF($I480&gt;=15,"High",IF($I480&gt;=10,"Medium",IF($I480&gt;=5,"Low",IF($I480&gt;0,"Very Low","")))))</f>
        <v/>
      </c>
      <c r="K480" s="5" t="n"/>
      <c r="O480">
        <f>VALUE(LEFT($M480,1))*VALUE(LEFT($N480,1))</f>
        <v/>
      </c>
      <c r="P480">
        <f>IF($O480&gt;=20,"Critical",IF($O480&gt;=15,"High",IF($O480&gt;=10,"Medium",IF($O480&gt;=5,"Low",IF($O480&gt;0,"Very Low","")))))</f>
        <v/>
      </c>
      <c r="S480" s="5" t="n"/>
      <c r="V480" s="5" t="n"/>
      <c r="W480" s="6" t="n"/>
      <c r="X480" s="6" t="n"/>
      <c r="Z480" s="5" t="n"/>
    </row>
    <row r="481">
      <c r="D481" s="5" t="n"/>
      <c r="E481" s="5" t="n"/>
      <c r="F481" s="5" t="n"/>
      <c r="I481">
        <f>VALUE(LEFT($G481,1))*VALUE(LEFT($H481,1))</f>
        <v/>
      </c>
      <c r="J481">
        <f>IF($I481&gt;=20,"Critical",IF($I481&gt;=15,"High",IF($I481&gt;=10,"Medium",IF($I481&gt;=5,"Low",IF($I481&gt;0,"Very Low","")))))</f>
        <v/>
      </c>
      <c r="K481" s="5" t="n"/>
      <c r="O481">
        <f>VALUE(LEFT($M481,1))*VALUE(LEFT($N481,1))</f>
        <v/>
      </c>
      <c r="P481">
        <f>IF($O481&gt;=20,"Critical",IF($O481&gt;=15,"High",IF($O481&gt;=10,"Medium",IF($O481&gt;=5,"Low",IF($O481&gt;0,"Very Low","")))))</f>
        <v/>
      </c>
      <c r="S481" s="5" t="n"/>
      <c r="V481" s="5" t="n"/>
      <c r="W481" s="6" t="n"/>
      <c r="X481" s="6" t="n"/>
      <c r="Z481" s="5" t="n"/>
    </row>
    <row r="482">
      <c r="D482" s="5" t="n"/>
      <c r="E482" s="5" t="n"/>
      <c r="F482" s="5" t="n"/>
      <c r="I482">
        <f>VALUE(LEFT($G482,1))*VALUE(LEFT($H482,1))</f>
        <v/>
      </c>
      <c r="J482">
        <f>IF($I482&gt;=20,"Critical",IF($I482&gt;=15,"High",IF($I482&gt;=10,"Medium",IF($I482&gt;=5,"Low",IF($I482&gt;0,"Very Low","")))))</f>
        <v/>
      </c>
      <c r="K482" s="5" t="n"/>
      <c r="O482">
        <f>VALUE(LEFT($M482,1))*VALUE(LEFT($N482,1))</f>
        <v/>
      </c>
      <c r="P482">
        <f>IF($O482&gt;=20,"Critical",IF($O482&gt;=15,"High",IF($O482&gt;=10,"Medium",IF($O482&gt;=5,"Low",IF($O482&gt;0,"Very Low","")))))</f>
        <v/>
      </c>
      <c r="S482" s="5" t="n"/>
      <c r="V482" s="5" t="n"/>
      <c r="W482" s="6" t="n"/>
      <c r="X482" s="6" t="n"/>
      <c r="Z482" s="5" t="n"/>
    </row>
    <row r="483">
      <c r="D483" s="5" t="n"/>
      <c r="E483" s="5" t="n"/>
      <c r="F483" s="5" t="n"/>
      <c r="I483">
        <f>VALUE(LEFT($G483,1))*VALUE(LEFT($H483,1))</f>
        <v/>
      </c>
      <c r="J483">
        <f>IF($I483&gt;=20,"Critical",IF($I483&gt;=15,"High",IF($I483&gt;=10,"Medium",IF($I483&gt;=5,"Low",IF($I483&gt;0,"Very Low","")))))</f>
        <v/>
      </c>
      <c r="K483" s="5" t="n"/>
      <c r="O483">
        <f>VALUE(LEFT($M483,1))*VALUE(LEFT($N483,1))</f>
        <v/>
      </c>
      <c r="P483">
        <f>IF($O483&gt;=20,"Critical",IF($O483&gt;=15,"High",IF($O483&gt;=10,"Medium",IF($O483&gt;=5,"Low",IF($O483&gt;0,"Very Low","")))))</f>
        <v/>
      </c>
      <c r="S483" s="5" t="n"/>
      <c r="V483" s="5" t="n"/>
      <c r="W483" s="6" t="n"/>
      <c r="X483" s="6" t="n"/>
      <c r="Z483" s="5" t="n"/>
    </row>
    <row r="484">
      <c r="D484" s="5" t="n"/>
      <c r="E484" s="5" t="n"/>
      <c r="F484" s="5" t="n"/>
      <c r="I484">
        <f>VALUE(LEFT($G484,1))*VALUE(LEFT($H484,1))</f>
        <v/>
      </c>
      <c r="J484">
        <f>IF($I484&gt;=20,"Critical",IF($I484&gt;=15,"High",IF($I484&gt;=10,"Medium",IF($I484&gt;=5,"Low",IF($I484&gt;0,"Very Low","")))))</f>
        <v/>
      </c>
      <c r="K484" s="5" t="n"/>
      <c r="O484">
        <f>VALUE(LEFT($M484,1))*VALUE(LEFT($N484,1))</f>
        <v/>
      </c>
      <c r="P484">
        <f>IF($O484&gt;=20,"Critical",IF($O484&gt;=15,"High",IF($O484&gt;=10,"Medium",IF($O484&gt;=5,"Low",IF($O484&gt;0,"Very Low","")))))</f>
        <v/>
      </c>
      <c r="S484" s="5" t="n"/>
      <c r="V484" s="5" t="n"/>
      <c r="W484" s="6" t="n"/>
      <c r="X484" s="6" t="n"/>
      <c r="Z484" s="5" t="n"/>
    </row>
    <row r="485">
      <c r="D485" s="5" t="n"/>
      <c r="E485" s="5" t="n"/>
      <c r="F485" s="5" t="n"/>
      <c r="I485">
        <f>VALUE(LEFT($G485,1))*VALUE(LEFT($H485,1))</f>
        <v/>
      </c>
      <c r="J485">
        <f>IF($I485&gt;=20,"Critical",IF($I485&gt;=15,"High",IF($I485&gt;=10,"Medium",IF($I485&gt;=5,"Low",IF($I485&gt;0,"Very Low","")))))</f>
        <v/>
      </c>
      <c r="K485" s="5" t="n"/>
      <c r="O485">
        <f>VALUE(LEFT($M485,1))*VALUE(LEFT($N485,1))</f>
        <v/>
      </c>
      <c r="P485">
        <f>IF($O485&gt;=20,"Critical",IF($O485&gt;=15,"High",IF($O485&gt;=10,"Medium",IF($O485&gt;=5,"Low",IF($O485&gt;0,"Very Low","")))))</f>
        <v/>
      </c>
      <c r="S485" s="5" t="n"/>
      <c r="V485" s="5" t="n"/>
      <c r="W485" s="6" t="n"/>
      <c r="X485" s="6" t="n"/>
      <c r="Z485" s="5" t="n"/>
    </row>
    <row r="486">
      <c r="D486" s="5" t="n"/>
      <c r="E486" s="5" t="n"/>
      <c r="F486" s="5" t="n"/>
      <c r="I486">
        <f>VALUE(LEFT($G486,1))*VALUE(LEFT($H486,1))</f>
        <v/>
      </c>
      <c r="J486">
        <f>IF($I486&gt;=20,"Critical",IF($I486&gt;=15,"High",IF($I486&gt;=10,"Medium",IF($I486&gt;=5,"Low",IF($I486&gt;0,"Very Low","")))))</f>
        <v/>
      </c>
      <c r="K486" s="5" t="n"/>
      <c r="O486">
        <f>VALUE(LEFT($M486,1))*VALUE(LEFT($N486,1))</f>
        <v/>
      </c>
      <c r="P486">
        <f>IF($O486&gt;=20,"Critical",IF($O486&gt;=15,"High",IF($O486&gt;=10,"Medium",IF($O486&gt;=5,"Low",IF($O486&gt;0,"Very Low","")))))</f>
        <v/>
      </c>
      <c r="S486" s="5" t="n"/>
      <c r="V486" s="5" t="n"/>
      <c r="W486" s="6" t="n"/>
      <c r="X486" s="6" t="n"/>
      <c r="Z486" s="5" t="n"/>
    </row>
    <row r="487">
      <c r="D487" s="5" t="n"/>
      <c r="E487" s="5" t="n"/>
      <c r="F487" s="5" t="n"/>
      <c r="I487">
        <f>VALUE(LEFT($G487,1))*VALUE(LEFT($H487,1))</f>
        <v/>
      </c>
      <c r="J487">
        <f>IF($I487&gt;=20,"Critical",IF($I487&gt;=15,"High",IF($I487&gt;=10,"Medium",IF($I487&gt;=5,"Low",IF($I487&gt;0,"Very Low","")))))</f>
        <v/>
      </c>
      <c r="K487" s="5" t="n"/>
      <c r="O487">
        <f>VALUE(LEFT($M487,1))*VALUE(LEFT($N487,1))</f>
        <v/>
      </c>
      <c r="P487">
        <f>IF($O487&gt;=20,"Critical",IF($O487&gt;=15,"High",IF($O487&gt;=10,"Medium",IF($O487&gt;=5,"Low",IF($O487&gt;0,"Very Low","")))))</f>
        <v/>
      </c>
      <c r="S487" s="5" t="n"/>
      <c r="V487" s="5" t="n"/>
      <c r="W487" s="6" t="n"/>
      <c r="X487" s="6" t="n"/>
      <c r="Z487" s="5" t="n"/>
    </row>
    <row r="488">
      <c r="D488" s="5" t="n"/>
      <c r="E488" s="5" t="n"/>
      <c r="F488" s="5" t="n"/>
      <c r="I488">
        <f>VALUE(LEFT($G488,1))*VALUE(LEFT($H488,1))</f>
        <v/>
      </c>
      <c r="J488">
        <f>IF($I488&gt;=20,"Critical",IF($I488&gt;=15,"High",IF($I488&gt;=10,"Medium",IF($I488&gt;=5,"Low",IF($I488&gt;0,"Very Low","")))))</f>
        <v/>
      </c>
      <c r="K488" s="5" t="n"/>
      <c r="O488">
        <f>VALUE(LEFT($M488,1))*VALUE(LEFT($N488,1))</f>
        <v/>
      </c>
      <c r="P488">
        <f>IF($O488&gt;=20,"Critical",IF($O488&gt;=15,"High",IF($O488&gt;=10,"Medium",IF($O488&gt;=5,"Low",IF($O488&gt;0,"Very Low","")))))</f>
        <v/>
      </c>
      <c r="S488" s="5" t="n"/>
      <c r="V488" s="5" t="n"/>
      <c r="W488" s="6" t="n"/>
      <c r="X488" s="6" t="n"/>
      <c r="Z488" s="5" t="n"/>
    </row>
    <row r="489">
      <c r="D489" s="5" t="n"/>
      <c r="E489" s="5" t="n"/>
      <c r="F489" s="5" t="n"/>
      <c r="I489">
        <f>VALUE(LEFT($G489,1))*VALUE(LEFT($H489,1))</f>
        <v/>
      </c>
      <c r="J489">
        <f>IF($I489&gt;=20,"Critical",IF($I489&gt;=15,"High",IF($I489&gt;=10,"Medium",IF($I489&gt;=5,"Low",IF($I489&gt;0,"Very Low","")))))</f>
        <v/>
      </c>
      <c r="K489" s="5" t="n"/>
      <c r="O489">
        <f>VALUE(LEFT($M489,1))*VALUE(LEFT($N489,1))</f>
        <v/>
      </c>
      <c r="P489">
        <f>IF($O489&gt;=20,"Critical",IF($O489&gt;=15,"High",IF($O489&gt;=10,"Medium",IF($O489&gt;=5,"Low",IF($O489&gt;0,"Very Low","")))))</f>
        <v/>
      </c>
      <c r="S489" s="5" t="n"/>
      <c r="V489" s="5" t="n"/>
      <c r="W489" s="6" t="n"/>
      <c r="X489" s="6" t="n"/>
      <c r="Z489" s="5" t="n"/>
    </row>
    <row r="490">
      <c r="D490" s="5" t="n"/>
      <c r="E490" s="5" t="n"/>
      <c r="F490" s="5" t="n"/>
      <c r="I490">
        <f>VALUE(LEFT($G490,1))*VALUE(LEFT($H490,1))</f>
        <v/>
      </c>
      <c r="J490">
        <f>IF($I490&gt;=20,"Critical",IF($I490&gt;=15,"High",IF($I490&gt;=10,"Medium",IF($I490&gt;=5,"Low",IF($I490&gt;0,"Very Low","")))))</f>
        <v/>
      </c>
      <c r="K490" s="5" t="n"/>
      <c r="O490">
        <f>VALUE(LEFT($M490,1))*VALUE(LEFT($N490,1))</f>
        <v/>
      </c>
      <c r="P490">
        <f>IF($O490&gt;=20,"Critical",IF($O490&gt;=15,"High",IF($O490&gt;=10,"Medium",IF($O490&gt;=5,"Low",IF($O490&gt;0,"Very Low","")))))</f>
        <v/>
      </c>
      <c r="S490" s="5" t="n"/>
      <c r="V490" s="5" t="n"/>
      <c r="W490" s="6" t="n"/>
      <c r="X490" s="6" t="n"/>
      <c r="Z490" s="5" t="n"/>
    </row>
    <row r="491">
      <c r="D491" s="5" t="n"/>
      <c r="E491" s="5" t="n"/>
      <c r="F491" s="5" t="n"/>
      <c r="I491">
        <f>VALUE(LEFT($G491,1))*VALUE(LEFT($H491,1))</f>
        <v/>
      </c>
      <c r="J491">
        <f>IF($I491&gt;=20,"Critical",IF($I491&gt;=15,"High",IF($I491&gt;=10,"Medium",IF($I491&gt;=5,"Low",IF($I491&gt;0,"Very Low","")))))</f>
        <v/>
      </c>
      <c r="K491" s="5" t="n"/>
      <c r="O491">
        <f>VALUE(LEFT($M491,1))*VALUE(LEFT($N491,1))</f>
        <v/>
      </c>
      <c r="P491">
        <f>IF($O491&gt;=20,"Critical",IF($O491&gt;=15,"High",IF($O491&gt;=10,"Medium",IF($O491&gt;=5,"Low",IF($O491&gt;0,"Very Low","")))))</f>
        <v/>
      </c>
      <c r="S491" s="5" t="n"/>
      <c r="V491" s="5" t="n"/>
      <c r="W491" s="6" t="n"/>
      <c r="X491" s="6" t="n"/>
      <c r="Z491" s="5" t="n"/>
    </row>
    <row r="492">
      <c r="D492" s="5" t="n"/>
      <c r="E492" s="5" t="n"/>
      <c r="F492" s="5" t="n"/>
      <c r="I492">
        <f>VALUE(LEFT($G492,1))*VALUE(LEFT($H492,1))</f>
        <v/>
      </c>
      <c r="J492">
        <f>IF($I492&gt;=20,"Critical",IF($I492&gt;=15,"High",IF($I492&gt;=10,"Medium",IF($I492&gt;=5,"Low",IF($I492&gt;0,"Very Low","")))))</f>
        <v/>
      </c>
      <c r="K492" s="5" t="n"/>
      <c r="O492">
        <f>VALUE(LEFT($M492,1))*VALUE(LEFT($N492,1))</f>
        <v/>
      </c>
      <c r="P492">
        <f>IF($O492&gt;=20,"Critical",IF($O492&gt;=15,"High",IF($O492&gt;=10,"Medium",IF($O492&gt;=5,"Low",IF($O492&gt;0,"Very Low","")))))</f>
        <v/>
      </c>
      <c r="S492" s="5" t="n"/>
      <c r="V492" s="5" t="n"/>
      <c r="W492" s="6" t="n"/>
      <c r="X492" s="6" t="n"/>
      <c r="Z492" s="5" t="n"/>
    </row>
    <row r="493">
      <c r="D493" s="5" t="n"/>
      <c r="E493" s="5" t="n"/>
      <c r="F493" s="5" t="n"/>
      <c r="I493">
        <f>VALUE(LEFT($G493,1))*VALUE(LEFT($H493,1))</f>
        <v/>
      </c>
      <c r="J493">
        <f>IF($I493&gt;=20,"Critical",IF($I493&gt;=15,"High",IF($I493&gt;=10,"Medium",IF($I493&gt;=5,"Low",IF($I493&gt;0,"Very Low","")))))</f>
        <v/>
      </c>
      <c r="K493" s="5" t="n"/>
      <c r="O493">
        <f>VALUE(LEFT($M493,1))*VALUE(LEFT($N493,1))</f>
        <v/>
      </c>
      <c r="P493">
        <f>IF($O493&gt;=20,"Critical",IF($O493&gt;=15,"High",IF($O493&gt;=10,"Medium",IF($O493&gt;=5,"Low",IF($O493&gt;0,"Very Low","")))))</f>
        <v/>
      </c>
      <c r="S493" s="5" t="n"/>
      <c r="V493" s="5" t="n"/>
      <c r="W493" s="6" t="n"/>
      <c r="X493" s="6" t="n"/>
      <c r="Z493" s="5" t="n"/>
    </row>
    <row r="494">
      <c r="D494" s="5" t="n"/>
      <c r="E494" s="5" t="n"/>
      <c r="F494" s="5" t="n"/>
      <c r="I494">
        <f>VALUE(LEFT($G494,1))*VALUE(LEFT($H494,1))</f>
        <v/>
      </c>
      <c r="J494">
        <f>IF($I494&gt;=20,"Critical",IF($I494&gt;=15,"High",IF($I494&gt;=10,"Medium",IF($I494&gt;=5,"Low",IF($I494&gt;0,"Very Low","")))))</f>
        <v/>
      </c>
      <c r="K494" s="5" t="n"/>
      <c r="O494">
        <f>VALUE(LEFT($M494,1))*VALUE(LEFT($N494,1))</f>
        <v/>
      </c>
      <c r="P494">
        <f>IF($O494&gt;=20,"Critical",IF($O494&gt;=15,"High",IF($O494&gt;=10,"Medium",IF($O494&gt;=5,"Low",IF($O494&gt;0,"Very Low","")))))</f>
        <v/>
      </c>
      <c r="S494" s="5" t="n"/>
      <c r="V494" s="5" t="n"/>
      <c r="W494" s="6" t="n"/>
      <c r="X494" s="6" t="n"/>
      <c r="Z494" s="5" t="n"/>
    </row>
    <row r="495">
      <c r="D495" s="5" t="n"/>
      <c r="E495" s="5" t="n"/>
      <c r="F495" s="5" t="n"/>
      <c r="I495">
        <f>VALUE(LEFT($G495,1))*VALUE(LEFT($H495,1))</f>
        <v/>
      </c>
      <c r="J495">
        <f>IF($I495&gt;=20,"Critical",IF($I495&gt;=15,"High",IF($I495&gt;=10,"Medium",IF($I495&gt;=5,"Low",IF($I495&gt;0,"Very Low","")))))</f>
        <v/>
      </c>
      <c r="K495" s="5" t="n"/>
      <c r="O495">
        <f>VALUE(LEFT($M495,1))*VALUE(LEFT($N495,1))</f>
        <v/>
      </c>
      <c r="P495">
        <f>IF($O495&gt;=20,"Critical",IF($O495&gt;=15,"High",IF($O495&gt;=10,"Medium",IF($O495&gt;=5,"Low",IF($O495&gt;0,"Very Low","")))))</f>
        <v/>
      </c>
      <c r="S495" s="5" t="n"/>
      <c r="V495" s="5" t="n"/>
      <c r="W495" s="6" t="n"/>
      <c r="X495" s="6" t="n"/>
      <c r="Z495" s="5" t="n"/>
    </row>
    <row r="496">
      <c r="D496" s="5" t="n"/>
      <c r="E496" s="5" t="n"/>
      <c r="F496" s="5" t="n"/>
      <c r="I496">
        <f>VALUE(LEFT($G496,1))*VALUE(LEFT($H496,1))</f>
        <v/>
      </c>
      <c r="J496">
        <f>IF($I496&gt;=20,"Critical",IF($I496&gt;=15,"High",IF($I496&gt;=10,"Medium",IF($I496&gt;=5,"Low",IF($I496&gt;0,"Very Low","")))))</f>
        <v/>
      </c>
      <c r="K496" s="5" t="n"/>
      <c r="O496">
        <f>VALUE(LEFT($M496,1))*VALUE(LEFT($N496,1))</f>
        <v/>
      </c>
      <c r="P496">
        <f>IF($O496&gt;=20,"Critical",IF($O496&gt;=15,"High",IF($O496&gt;=10,"Medium",IF($O496&gt;=5,"Low",IF($O496&gt;0,"Very Low","")))))</f>
        <v/>
      </c>
      <c r="S496" s="5" t="n"/>
      <c r="V496" s="5" t="n"/>
      <c r="W496" s="6" t="n"/>
      <c r="X496" s="6" t="n"/>
      <c r="Z496" s="5" t="n"/>
    </row>
    <row r="497">
      <c r="D497" s="5" t="n"/>
      <c r="E497" s="5" t="n"/>
      <c r="F497" s="5" t="n"/>
      <c r="I497">
        <f>VALUE(LEFT($G497,1))*VALUE(LEFT($H497,1))</f>
        <v/>
      </c>
      <c r="J497">
        <f>IF($I497&gt;=20,"Critical",IF($I497&gt;=15,"High",IF($I497&gt;=10,"Medium",IF($I497&gt;=5,"Low",IF($I497&gt;0,"Very Low","")))))</f>
        <v/>
      </c>
      <c r="K497" s="5" t="n"/>
      <c r="O497">
        <f>VALUE(LEFT($M497,1))*VALUE(LEFT($N497,1))</f>
        <v/>
      </c>
      <c r="P497">
        <f>IF($O497&gt;=20,"Critical",IF($O497&gt;=15,"High",IF($O497&gt;=10,"Medium",IF($O497&gt;=5,"Low",IF($O497&gt;0,"Very Low","")))))</f>
        <v/>
      </c>
      <c r="S497" s="5" t="n"/>
      <c r="V497" s="5" t="n"/>
      <c r="W497" s="6" t="n"/>
      <c r="X497" s="6" t="n"/>
      <c r="Z497" s="5" t="n"/>
    </row>
    <row r="498">
      <c r="D498" s="5" t="n"/>
      <c r="E498" s="5" t="n"/>
      <c r="F498" s="5" t="n"/>
      <c r="I498">
        <f>VALUE(LEFT($G498,1))*VALUE(LEFT($H498,1))</f>
        <v/>
      </c>
      <c r="J498">
        <f>IF($I498&gt;=20,"Critical",IF($I498&gt;=15,"High",IF($I498&gt;=10,"Medium",IF($I498&gt;=5,"Low",IF($I498&gt;0,"Very Low","")))))</f>
        <v/>
      </c>
      <c r="K498" s="5" t="n"/>
      <c r="O498">
        <f>VALUE(LEFT($M498,1))*VALUE(LEFT($N498,1))</f>
        <v/>
      </c>
      <c r="P498">
        <f>IF($O498&gt;=20,"Critical",IF($O498&gt;=15,"High",IF($O498&gt;=10,"Medium",IF($O498&gt;=5,"Low",IF($O498&gt;0,"Very Low","")))))</f>
        <v/>
      </c>
      <c r="S498" s="5" t="n"/>
      <c r="V498" s="5" t="n"/>
      <c r="W498" s="6" t="n"/>
      <c r="X498" s="6" t="n"/>
      <c r="Z498" s="5" t="n"/>
    </row>
    <row r="499">
      <c r="D499" s="5" t="n"/>
      <c r="E499" s="5" t="n"/>
      <c r="F499" s="5" t="n"/>
      <c r="I499">
        <f>VALUE(LEFT($G499,1))*VALUE(LEFT($H499,1))</f>
        <v/>
      </c>
      <c r="J499">
        <f>IF($I499&gt;=20,"Critical",IF($I499&gt;=15,"High",IF($I499&gt;=10,"Medium",IF($I499&gt;=5,"Low",IF($I499&gt;0,"Very Low","")))))</f>
        <v/>
      </c>
      <c r="K499" s="5" t="n"/>
      <c r="O499">
        <f>VALUE(LEFT($M499,1))*VALUE(LEFT($N499,1))</f>
        <v/>
      </c>
      <c r="P499">
        <f>IF($O499&gt;=20,"Critical",IF($O499&gt;=15,"High",IF($O499&gt;=10,"Medium",IF($O499&gt;=5,"Low",IF($O499&gt;0,"Very Low","")))))</f>
        <v/>
      </c>
      <c r="S499" s="5" t="n"/>
      <c r="V499" s="5" t="n"/>
      <c r="W499" s="6" t="n"/>
      <c r="X499" s="6" t="n"/>
      <c r="Z499" s="5" t="n"/>
    </row>
    <row r="500">
      <c r="D500" s="5" t="n"/>
      <c r="E500" s="5" t="n"/>
      <c r="F500" s="5" t="n"/>
      <c r="I500">
        <f>VALUE(LEFT($G500,1))*VALUE(LEFT($H500,1))</f>
        <v/>
      </c>
      <c r="J500">
        <f>IF($I500&gt;=20,"Critical",IF($I500&gt;=15,"High",IF($I500&gt;=10,"Medium",IF($I500&gt;=5,"Low",IF($I500&gt;0,"Very Low","")))))</f>
        <v/>
      </c>
      <c r="K500" s="5" t="n"/>
      <c r="O500">
        <f>VALUE(LEFT($M500,1))*VALUE(LEFT($N500,1))</f>
        <v/>
      </c>
      <c r="P500">
        <f>IF($O500&gt;=20,"Critical",IF($O500&gt;=15,"High",IF($O500&gt;=10,"Medium",IF($O500&gt;=5,"Low",IF($O500&gt;0,"Very Low","")))))</f>
        <v/>
      </c>
      <c r="S500" s="5" t="n"/>
      <c r="V500" s="5" t="n"/>
      <c r="W500" s="6" t="n"/>
      <c r="X500" s="6" t="n"/>
      <c r="Z500" s="5" t="n"/>
    </row>
    <row r="501">
      <c r="D501" s="5" t="n"/>
      <c r="E501" s="5" t="n"/>
      <c r="F501" s="5" t="n"/>
      <c r="I501">
        <f>VALUE(LEFT($G501,1))*VALUE(LEFT($H501,1))</f>
        <v/>
      </c>
      <c r="J501">
        <f>IF($I501&gt;=20,"Critical",IF($I501&gt;=15,"High",IF($I501&gt;=10,"Medium",IF($I501&gt;=5,"Low",IF($I501&gt;0,"Very Low","")))))</f>
        <v/>
      </c>
      <c r="K501" s="5" t="n"/>
      <c r="O501">
        <f>VALUE(LEFT($M501,1))*VALUE(LEFT($N501,1))</f>
        <v/>
      </c>
      <c r="P501">
        <f>IF($O501&gt;=20,"Critical",IF($O501&gt;=15,"High",IF($O501&gt;=10,"Medium",IF($O501&gt;=5,"Low",IF($O501&gt;0,"Very Low","")))))</f>
        <v/>
      </c>
      <c r="S501" s="5" t="n"/>
      <c r="V501" s="5" t="n"/>
      <c r="W501" s="6" t="n"/>
      <c r="X501" s="6" t="n"/>
      <c r="Z501" s="5" t="n"/>
    </row>
    <row r="502">
      <c r="D502" s="5" t="n"/>
      <c r="E502" s="5" t="n"/>
      <c r="F502" s="5" t="n"/>
      <c r="I502">
        <f>VALUE(LEFT($G502,1))*VALUE(LEFT($H502,1))</f>
        <v/>
      </c>
      <c r="J502">
        <f>IF($I502&gt;=20,"Critical",IF($I502&gt;=15,"High",IF($I502&gt;=10,"Medium",IF($I502&gt;=5,"Low",IF($I502&gt;0,"Very Low","")))))</f>
        <v/>
      </c>
      <c r="K502" s="5" t="n"/>
      <c r="O502">
        <f>VALUE(LEFT($M502,1))*VALUE(LEFT($N502,1))</f>
        <v/>
      </c>
      <c r="P502">
        <f>IF($O502&gt;=20,"Critical",IF($O502&gt;=15,"High",IF($O502&gt;=10,"Medium",IF($O502&gt;=5,"Low",IF($O502&gt;0,"Very Low","")))))</f>
        <v/>
      </c>
      <c r="S502" s="5" t="n"/>
      <c r="V502" s="5" t="n"/>
      <c r="W502" s="6" t="n"/>
      <c r="X502" s="6" t="n"/>
      <c r="Z502" s="5" t="n"/>
    </row>
    <row r="503">
      <c r="D503" s="5" t="n"/>
      <c r="E503" s="5" t="n"/>
      <c r="F503" s="5" t="n"/>
      <c r="I503">
        <f>VALUE(LEFT($G503,1))*VALUE(LEFT($H503,1))</f>
        <v/>
      </c>
      <c r="J503">
        <f>IF($I503&gt;=20,"Critical",IF($I503&gt;=15,"High",IF($I503&gt;=10,"Medium",IF($I503&gt;=5,"Low",IF($I503&gt;0,"Very Low","")))))</f>
        <v/>
      </c>
      <c r="K503" s="5" t="n"/>
      <c r="O503">
        <f>VALUE(LEFT($M503,1))*VALUE(LEFT($N503,1))</f>
        <v/>
      </c>
      <c r="P503">
        <f>IF($O503&gt;=20,"Critical",IF($O503&gt;=15,"High",IF($O503&gt;=10,"Medium",IF($O503&gt;=5,"Low",IF($O503&gt;0,"Very Low","")))))</f>
        <v/>
      </c>
      <c r="S503" s="5" t="n"/>
      <c r="V503" s="5" t="n"/>
      <c r="W503" s="6" t="n"/>
      <c r="X503" s="6" t="n"/>
      <c r="Z503" s="5" t="n"/>
    </row>
    <row r="504">
      <c r="D504" s="5" t="n"/>
      <c r="E504" s="5" t="n"/>
      <c r="F504" s="5" t="n"/>
      <c r="I504">
        <f>VALUE(LEFT($G504,1))*VALUE(LEFT($H504,1))</f>
        <v/>
      </c>
      <c r="J504">
        <f>IF($I504&gt;=20,"Critical",IF($I504&gt;=15,"High",IF($I504&gt;=10,"Medium",IF($I504&gt;=5,"Low",IF($I504&gt;0,"Very Low","")))))</f>
        <v/>
      </c>
      <c r="K504" s="5" t="n"/>
      <c r="O504">
        <f>VALUE(LEFT($M504,1))*VALUE(LEFT($N504,1))</f>
        <v/>
      </c>
      <c r="P504">
        <f>IF($O504&gt;=20,"Critical",IF($O504&gt;=15,"High",IF($O504&gt;=10,"Medium",IF($O504&gt;=5,"Low",IF($O504&gt;0,"Very Low","")))))</f>
        <v/>
      </c>
      <c r="S504" s="5" t="n"/>
      <c r="V504" s="5" t="n"/>
      <c r="W504" s="6" t="n"/>
      <c r="X504" s="6" t="n"/>
      <c r="Z504" s="5" t="n"/>
    </row>
    <row r="505">
      <c r="D505" s="5" t="n"/>
      <c r="E505" s="5" t="n"/>
      <c r="F505" s="5" t="n"/>
      <c r="I505">
        <f>VALUE(LEFT($G505,1))*VALUE(LEFT($H505,1))</f>
        <v/>
      </c>
      <c r="J505">
        <f>IF($I505&gt;=20,"Critical",IF($I505&gt;=15,"High",IF($I505&gt;=10,"Medium",IF($I505&gt;=5,"Low",IF($I505&gt;0,"Very Low","")))))</f>
        <v/>
      </c>
      <c r="K505" s="5" t="n"/>
      <c r="O505">
        <f>VALUE(LEFT($M505,1))*VALUE(LEFT($N505,1))</f>
        <v/>
      </c>
      <c r="P505">
        <f>IF($O505&gt;=20,"Critical",IF($O505&gt;=15,"High",IF($O505&gt;=10,"Medium",IF($O505&gt;=5,"Low",IF($O505&gt;0,"Very Low","")))))</f>
        <v/>
      </c>
      <c r="S505" s="5" t="n"/>
      <c r="V505" s="5" t="n"/>
      <c r="W505" s="6" t="n"/>
      <c r="X505" s="6" t="n"/>
      <c r="Z505" s="5" t="n"/>
    </row>
    <row r="506">
      <c r="D506" s="5" t="n"/>
      <c r="E506" s="5" t="n"/>
      <c r="F506" s="5" t="n"/>
      <c r="I506">
        <f>VALUE(LEFT($G506,1))*VALUE(LEFT($H506,1))</f>
        <v/>
      </c>
      <c r="J506">
        <f>IF($I506&gt;=20,"Critical",IF($I506&gt;=15,"High",IF($I506&gt;=10,"Medium",IF($I506&gt;=5,"Low",IF($I506&gt;0,"Very Low","")))))</f>
        <v/>
      </c>
      <c r="K506" s="5" t="n"/>
      <c r="O506">
        <f>VALUE(LEFT($M506,1))*VALUE(LEFT($N506,1))</f>
        <v/>
      </c>
      <c r="P506">
        <f>IF($O506&gt;=20,"Critical",IF($O506&gt;=15,"High",IF($O506&gt;=10,"Medium",IF($O506&gt;=5,"Low",IF($O506&gt;0,"Very Low","")))))</f>
        <v/>
      </c>
      <c r="S506" s="5" t="n"/>
      <c r="V506" s="5" t="n"/>
      <c r="W506" s="6" t="n"/>
      <c r="X506" s="6" t="n"/>
      <c r="Z506" s="5" t="n"/>
    </row>
    <row r="507">
      <c r="D507" s="5" t="n"/>
      <c r="E507" s="5" t="n"/>
      <c r="F507" s="5" t="n"/>
      <c r="I507">
        <f>VALUE(LEFT($G507,1))*VALUE(LEFT($H507,1))</f>
        <v/>
      </c>
      <c r="J507">
        <f>IF($I507&gt;=20,"Critical",IF($I507&gt;=15,"High",IF($I507&gt;=10,"Medium",IF($I507&gt;=5,"Low",IF($I507&gt;0,"Very Low","")))))</f>
        <v/>
      </c>
      <c r="K507" s="5" t="n"/>
      <c r="O507">
        <f>VALUE(LEFT($M507,1))*VALUE(LEFT($N507,1))</f>
        <v/>
      </c>
      <c r="P507">
        <f>IF($O507&gt;=20,"Critical",IF($O507&gt;=15,"High",IF($O507&gt;=10,"Medium",IF($O507&gt;=5,"Low",IF($O507&gt;0,"Very Low","")))))</f>
        <v/>
      </c>
      <c r="S507" s="5" t="n"/>
      <c r="V507" s="5" t="n"/>
      <c r="W507" s="6" t="n"/>
      <c r="X507" s="6" t="n"/>
      <c r="Z507" s="5" t="n"/>
    </row>
    <row r="508">
      <c r="D508" s="5" t="n"/>
      <c r="E508" s="5" t="n"/>
      <c r="F508" s="5" t="n"/>
      <c r="I508">
        <f>VALUE(LEFT($G508,1))*VALUE(LEFT($H508,1))</f>
        <v/>
      </c>
      <c r="J508">
        <f>IF($I508&gt;=20,"Critical",IF($I508&gt;=15,"High",IF($I508&gt;=10,"Medium",IF($I508&gt;=5,"Low",IF($I508&gt;0,"Very Low","")))))</f>
        <v/>
      </c>
      <c r="K508" s="5" t="n"/>
      <c r="O508">
        <f>VALUE(LEFT($M508,1))*VALUE(LEFT($N508,1))</f>
        <v/>
      </c>
      <c r="P508">
        <f>IF($O508&gt;=20,"Critical",IF($O508&gt;=15,"High",IF($O508&gt;=10,"Medium",IF($O508&gt;=5,"Low",IF($O508&gt;0,"Very Low","")))))</f>
        <v/>
      </c>
      <c r="S508" s="5" t="n"/>
      <c r="V508" s="5" t="n"/>
      <c r="W508" s="6" t="n"/>
      <c r="X508" s="6" t="n"/>
      <c r="Z508" s="5" t="n"/>
    </row>
    <row r="509">
      <c r="D509" s="5" t="n"/>
      <c r="E509" s="5" t="n"/>
      <c r="F509" s="5" t="n"/>
      <c r="I509">
        <f>VALUE(LEFT($G509,1))*VALUE(LEFT($H509,1))</f>
        <v/>
      </c>
      <c r="J509">
        <f>IF($I509&gt;=20,"Critical",IF($I509&gt;=15,"High",IF($I509&gt;=10,"Medium",IF($I509&gt;=5,"Low",IF($I509&gt;0,"Very Low","")))))</f>
        <v/>
      </c>
      <c r="K509" s="5" t="n"/>
      <c r="O509">
        <f>VALUE(LEFT($M509,1))*VALUE(LEFT($N509,1))</f>
        <v/>
      </c>
      <c r="P509">
        <f>IF($O509&gt;=20,"Critical",IF($O509&gt;=15,"High",IF($O509&gt;=10,"Medium",IF($O509&gt;=5,"Low",IF($O509&gt;0,"Very Low","")))))</f>
        <v/>
      </c>
      <c r="S509" s="5" t="n"/>
      <c r="V509" s="5" t="n"/>
      <c r="W509" s="6" t="n"/>
      <c r="X509" s="6" t="n"/>
      <c r="Z509" s="5" t="n"/>
    </row>
    <row r="510">
      <c r="D510" s="5" t="n"/>
      <c r="E510" s="5" t="n"/>
      <c r="F510" s="5" t="n"/>
      <c r="I510">
        <f>VALUE(LEFT($G510,1))*VALUE(LEFT($H510,1))</f>
        <v/>
      </c>
      <c r="J510">
        <f>IF($I510&gt;=20,"Critical",IF($I510&gt;=15,"High",IF($I510&gt;=10,"Medium",IF($I510&gt;=5,"Low",IF($I510&gt;0,"Very Low","")))))</f>
        <v/>
      </c>
      <c r="K510" s="5" t="n"/>
      <c r="O510">
        <f>VALUE(LEFT($M510,1))*VALUE(LEFT($N510,1))</f>
        <v/>
      </c>
      <c r="P510">
        <f>IF($O510&gt;=20,"Critical",IF($O510&gt;=15,"High",IF($O510&gt;=10,"Medium",IF($O510&gt;=5,"Low",IF($O510&gt;0,"Very Low","")))))</f>
        <v/>
      </c>
      <c r="S510" s="5" t="n"/>
      <c r="V510" s="5" t="n"/>
      <c r="W510" s="6" t="n"/>
      <c r="X510" s="6" t="n"/>
      <c r="Z510" s="5" t="n"/>
    </row>
    <row r="511">
      <c r="D511" s="5" t="n"/>
      <c r="E511" s="5" t="n"/>
      <c r="F511" s="5" t="n"/>
      <c r="I511">
        <f>VALUE(LEFT($G511,1))*VALUE(LEFT($H511,1))</f>
        <v/>
      </c>
      <c r="J511">
        <f>IF($I511&gt;=20,"Critical",IF($I511&gt;=15,"High",IF($I511&gt;=10,"Medium",IF($I511&gt;=5,"Low",IF($I511&gt;0,"Very Low","")))))</f>
        <v/>
      </c>
      <c r="K511" s="5" t="n"/>
      <c r="O511">
        <f>VALUE(LEFT($M511,1))*VALUE(LEFT($N511,1))</f>
        <v/>
      </c>
      <c r="P511">
        <f>IF($O511&gt;=20,"Critical",IF($O511&gt;=15,"High",IF($O511&gt;=10,"Medium",IF($O511&gt;=5,"Low",IF($O511&gt;0,"Very Low","")))))</f>
        <v/>
      </c>
      <c r="S511" s="5" t="n"/>
      <c r="V511" s="5" t="n"/>
      <c r="W511" s="6" t="n"/>
      <c r="X511" s="6" t="n"/>
      <c r="Z511" s="5" t="n"/>
    </row>
    <row r="512">
      <c r="D512" s="5" t="n"/>
      <c r="E512" s="5" t="n"/>
      <c r="F512" s="5" t="n"/>
      <c r="I512">
        <f>VALUE(LEFT($G512,1))*VALUE(LEFT($H512,1))</f>
        <v/>
      </c>
      <c r="J512">
        <f>IF($I512&gt;=20,"Critical",IF($I512&gt;=15,"High",IF($I512&gt;=10,"Medium",IF($I512&gt;=5,"Low",IF($I512&gt;0,"Very Low","")))))</f>
        <v/>
      </c>
      <c r="K512" s="5" t="n"/>
      <c r="O512">
        <f>VALUE(LEFT($M512,1))*VALUE(LEFT($N512,1))</f>
        <v/>
      </c>
      <c r="P512">
        <f>IF($O512&gt;=20,"Critical",IF($O512&gt;=15,"High",IF($O512&gt;=10,"Medium",IF($O512&gt;=5,"Low",IF($O512&gt;0,"Very Low","")))))</f>
        <v/>
      </c>
      <c r="S512" s="5" t="n"/>
      <c r="V512" s="5" t="n"/>
      <c r="W512" s="6" t="n"/>
      <c r="X512" s="6" t="n"/>
      <c r="Z512" s="5" t="n"/>
    </row>
    <row r="513">
      <c r="D513" s="5" t="n"/>
      <c r="E513" s="5" t="n"/>
      <c r="F513" s="5" t="n"/>
      <c r="I513">
        <f>VALUE(LEFT($G513,1))*VALUE(LEFT($H513,1))</f>
        <v/>
      </c>
      <c r="J513">
        <f>IF($I513&gt;=20,"Critical",IF($I513&gt;=15,"High",IF($I513&gt;=10,"Medium",IF($I513&gt;=5,"Low",IF($I513&gt;0,"Very Low","")))))</f>
        <v/>
      </c>
      <c r="K513" s="5" t="n"/>
      <c r="O513">
        <f>VALUE(LEFT($M513,1))*VALUE(LEFT($N513,1))</f>
        <v/>
      </c>
      <c r="P513">
        <f>IF($O513&gt;=20,"Critical",IF($O513&gt;=15,"High",IF($O513&gt;=10,"Medium",IF($O513&gt;=5,"Low",IF($O513&gt;0,"Very Low","")))))</f>
        <v/>
      </c>
      <c r="S513" s="5" t="n"/>
      <c r="V513" s="5" t="n"/>
      <c r="W513" s="6" t="n"/>
      <c r="X513" s="6" t="n"/>
      <c r="Z513" s="5" t="n"/>
    </row>
    <row r="514">
      <c r="D514" s="5" t="n"/>
      <c r="E514" s="5" t="n"/>
      <c r="F514" s="5" t="n"/>
      <c r="I514">
        <f>VALUE(LEFT($G514,1))*VALUE(LEFT($H514,1))</f>
        <v/>
      </c>
      <c r="J514">
        <f>IF($I514&gt;=20,"Critical",IF($I514&gt;=15,"High",IF($I514&gt;=10,"Medium",IF($I514&gt;=5,"Low",IF($I514&gt;0,"Very Low","")))))</f>
        <v/>
      </c>
      <c r="K514" s="5" t="n"/>
      <c r="O514">
        <f>VALUE(LEFT($M514,1))*VALUE(LEFT($N514,1))</f>
        <v/>
      </c>
      <c r="P514">
        <f>IF($O514&gt;=20,"Critical",IF($O514&gt;=15,"High",IF($O514&gt;=10,"Medium",IF($O514&gt;=5,"Low",IF($O514&gt;0,"Very Low","")))))</f>
        <v/>
      </c>
      <c r="S514" s="5" t="n"/>
      <c r="V514" s="5" t="n"/>
      <c r="W514" s="6" t="n"/>
      <c r="X514" s="6" t="n"/>
      <c r="Z514" s="5" t="n"/>
    </row>
    <row r="515">
      <c r="D515" s="5" t="n"/>
      <c r="E515" s="5" t="n"/>
      <c r="F515" s="5" t="n"/>
      <c r="I515">
        <f>VALUE(LEFT($G515,1))*VALUE(LEFT($H515,1))</f>
        <v/>
      </c>
      <c r="J515">
        <f>IF($I515&gt;=20,"Critical",IF($I515&gt;=15,"High",IF($I515&gt;=10,"Medium",IF($I515&gt;=5,"Low",IF($I515&gt;0,"Very Low","")))))</f>
        <v/>
      </c>
      <c r="K515" s="5" t="n"/>
      <c r="O515">
        <f>VALUE(LEFT($M515,1))*VALUE(LEFT($N515,1))</f>
        <v/>
      </c>
      <c r="P515">
        <f>IF($O515&gt;=20,"Critical",IF($O515&gt;=15,"High",IF($O515&gt;=10,"Medium",IF($O515&gt;=5,"Low",IF($O515&gt;0,"Very Low","")))))</f>
        <v/>
      </c>
      <c r="S515" s="5" t="n"/>
      <c r="V515" s="5" t="n"/>
      <c r="W515" s="6" t="n"/>
      <c r="X515" s="6" t="n"/>
      <c r="Z515" s="5" t="n"/>
    </row>
    <row r="516">
      <c r="D516" s="5" t="n"/>
      <c r="E516" s="5" t="n"/>
      <c r="F516" s="5" t="n"/>
      <c r="I516">
        <f>VALUE(LEFT($G516,1))*VALUE(LEFT($H516,1))</f>
        <v/>
      </c>
      <c r="J516">
        <f>IF($I516&gt;=20,"Critical",IF($I516&gt;=15,"High",IF($I516&gt;=10,"Medium",IF($I516&gt;=5,"Low",IF($I516&gt;0,"Very Low","")))))</f>
        <v/>
      </c>
      <c r="K516" s="5" t="n"/>
      <c r="O516">
        <f>VALUE(LEFT($M516,1))*VALUE(LEFT($N516,1))</f>
        <v/>
      </c>
      <c r="P516">
        <f>IF($O516&gt;=20,"Critical",IF($O516&gt;=15,"High",IF($O516&gt;=10,"Medium",IF($O516&gt;=5,"Low",IF($O516&gt;0,"Very Low","")))))</f>
        <v/>
      </c>
      <c r="S516" s="5" t="n"/>
      <c r="V516" s="5" t="n"/>
      <c r="W516" s="6" t="n"/>
      <c r="X516" s="6" t="n"/>
      <c r="Z516" s="5" t="n"/>
    </row>
    <row r="517">
      <c r="D517" s="5" t="n"/>
      <c r="E517" s="5" t="n"/>
      <c r="F517" s="5" t="n"/>
      <c r="I517">
        <f>VALUE(LEFT($G517,1))*VALUE(LEFT($H517,1))</f>
        <v/>
      </c>
      <c r="J517">
        <f>IF($I517&gt;=20,"Critical",IF($I517&gt;=15,"High",IF($I517&gt;=10,"Medium",IF($I517&gt;=5,"Low",IF($I517&gt;0,"Very Low","")))))</f>
        <v/>
      </c>
      <c r="K517" s="5" t="n"/>
      <c r="O517">
        <f>VALUE(LEFT($M517,1))*VALUE(LEFT($N517,1))</f>
        <v/>
      </c>
      <c r="P517">
        <f>IF($O517&gt;=20,"Critical",IF($O517&gt;=15,"High",IF($O517&gt;=10,"Medium",IF($O517&gt;=5,"Low",IF($O517&gt;0,"Very Low","")))))</f>
        <v/>
      </c>
      <c r="S517" s="5" t="n"/>
      <c r="V517" s="5" t="n"/>
      <c r="W517" s="6" t="n"/>
      <c r="X517" s="6" t="n"/>
      <c r="Z517" s="5" t="n"/>
    </row>
    <row r="518">
      <c r="D518" s="5" t="n"/>
      <c r="E518" s="5" t="n"/>
      <c r="F518" s="5" t="n"/>
      <c r="I518">
        <f>VALUE(LEFT($G518,1))*VALUE(LEFT($H518,1))</f>
        <v/>
      </c>
      <c r="J518">
        <f>IF($I518&gt;=20,"Critical",IF($I518&gt;=15,"High",IF($I518&gt;=10,"Medium",IF($I518&gt;=5,"Low",IF($I518&gt;0,"Very Low","")))))</f>
        <v/>
      </c>
      <c r="K518" s="5" t="n"/>
      <c r="O518">
        <f>VALUE(LEFT($M518,1))*VALUE(LEFT($N518,1))</f>
        <v/>
      </c>
      <c r="P518">
        <f>IF($O518&gt;=20,"Critical",IF($O518&gt;=15,"High",IF($O518&gt;=10,"Medium",IF($O518&gt;=5,"Low",IF($O518&gt;0,"Very Low","")))))</f>
        <v/>
      </c>
      <c r="S518" s="5" t="n"/>
      <c r="V518" s="5" t="n"/>
      <c r="W518" s="6" t="n"/>
      <c r="X518" s="6" t="n"/>
      <c r="Z518" s="5" t="n"/>
    </row>
    <row r="519">
      <c r="D519" s="5" t="n"/>
      <c r="E519" s="5" t="n"/>
      <c r="F519" s="5" t="n"/>
      <c r="I519">
        <f>VALUE(LEFT($G519,1))*VALUE(LEFT($H519,1))</f>
        <v/>
      </c>
      <c r="J519">
        <f>IF($I519&gt;=20,"Critical",IF($I519&gt;=15,"High",IF($I519&gt;=10,"Medium",IF($I519&gt;=5,"Low",IF($I519&gt;0,"Very Low","")))))</f>
        <v/>
      </c>
      <c r="K519" s="5" t="n"/>
      <c r="O519">
        <f>VALUE(LEFT($M519,1))*VALUE(LEFT($N519,1))</f>
        <v/>
      </c>
      <c r="P519">
        <f>IF($O519&gt;=20,"Critical",IF($O519&gt;=15,"High",IF($O519&gt;=10,"Medium",IF($O519&gt;=5,"Low",IF($O519&gt;0,"Very Low","")))))</f>
        <v/>
      </c>
      <c r="S519" s="5" t="n"/>
      <c r="V519" s="5" t="n"/>
      <c r="W519" s="6" t="n"/>
      <c r="X519" s="6" t="n"/>
      <c r="Z519" s="5" t="n"/>
    </row>
    <row r="520">
      <c r="D520" s="5" t="n"/>
      <c r="E520" s="5" t="n"/>
      <c r="F520" s="5" t="n"/>
      <c r="I520">
        <f>VALUE(LEFT($G520,1))*VALUE(LEFT($H520,1))</f>
        <v/>
      </c>
      <c r="J520">
        <f>IF($I520&gt;=20,"Critical",IF($I520&gt;=15,"High",IF($I520&gt;=10,"Medium",IF($I520&gt;=5,"Low",IF($I520&gt;0,"Very Low","")))))</f>
        <v/>
      </c>
      <c r="K520" s="5" t="n"/>
      <c r="O520">
        <f>VALUE(LEFT($M520,1))*VALUE(LEFT($N520,1))</f>
        <v/>
      </c>
      <c r="P520">
        <f>IF($O520&gt;=20,"Critical",IF($O520&gt;=15,"High",IF($O520&gt;=10,"Medium",IF($O520&gt;=5,"Low",IF($O520&gt;0,"Very Low","")))))</f>
        <v/>
      </c>
      <c r="S520" s="5" t="n"/>
      <c r="V520" s="5" t="n"/>
      <c r="W520" s="6" t="n"/>
      <c r="X520" s="6" t="n"/>
      <c r="Z520" s="5" t="n"/>
    </row>
    <row r="521">
      <c r="D521" s="5" t="n"/>
      <c r="E521" s="5" t="n"/>
      <c r="F521" s="5" t="n"/>
      <c r="I521">
        <f>VALUE(LEFT($G521,1))*VALUE(LEFT($H521,1))</f>
        <v/>
      </c>
      <c r="J521">
        <f>IF($I521&gt;=20,"Critical",IF($I521&gt;=15,"High",IF($I521&gt;=10,"Medium",IF($I521&gt;=5,"Low",IF($I521&gt;0,"Very Low","")))))</f>
        <v/>
      </c>
      <c r="K521" s="5" t="n"/>
      <c r="O521">
        <f>VALUE(LEFT($M521,1))*VALUE(LEFT($N521,1))</f>
        <v/>
      </c>
      <c r="P521">
        <f>IF($O521&gt;=20,"Critical",IF($O521&gt;=15,"High",IF($O521&gt;=10,"Medium",IF($O521&gt;=5,"Low",IF($O521&gt;0,"Very Low","")))))</f>
        <v/>
      </c>
      <c r="S521" s="5" t="n"/>
      <c r="V521" s="5" t="n"/>
      <c r="W521" s="6" t="n"/>
      <c r="X521" s="6" t="n"/>
      <c r="Z521" s="5" t="n"/>
    </row>
    <row r="522">
      <c r="D522" s="5" t="n"/>
      <c r="E522" s="5" t="n"/>
      <c r="F522" s="5" t="n"/>
      <c r="I522">
        <f>VALUE(LEFT($G522,1))*VALUE(LEFT($H522,1))</f>
        <v/>
      </c>
      <c r="J522">
        <f>IF($I522&gt;=20,"Critical",IF($I522&gt;=15,"High",IF($I522&gt;=10,"Medium",IF($I522&gt;=5,"Low",IF($I522&gt;0,"Very Low","")))))</f>
        <v/>
      </c>
      <c r="K522" s="5" t="n"/>
      <c r="O522">
        <f>VALUE(LEFT($M522,1))*VALUE(LEFT($N522,1))</f>
        <v/>
      </c>
      <c r="P522">
        <f>IF($O522&gt;=20,"Critical",IF($O522&gt;=15,"High",IF($O522&gt;=10,"Medium",IF($O522&gt;=5,"Low",IF($O522&gt;0,"Very Low","")))))</f>
        <v/>
      </c>
      <c r="S522" s="5" t="n"/>
      <c r="V522" s="5" t="n"/>
      <c r="W522" s="6" t="n"/>
      <c r="X522" s="6" t="n"/>
      <c r="Z522" s="5" t="n"/>
    </row>
    <row r="523">
      <c r="D523" s="5" t="n"/>
      <c r="E523" s="5" t="n"/>
      <c r="F523" s="5" t="n"/>
      <c r="I523">
        <f>VALUE(LEFT($G523,1))*VALUE(LEFT($H523,1))</f>
        <v/>
      </c>
      <c r="J523">
        <f>IF($I523&gt;=20,"Critical",IF($I523&gt;=15,"High",IF($I523&gt;=10,"Medium",IF($I523&gt;=5,"Low",IF($I523&gt;0,"Very Low","")))))</f>
        <v/>
      </c>
      <c r="K523" s="5" t="n"/>
      <c r="O523">
        <f>VALUE(LEFT($M523,1))*VALUE(LEFT($N523,1))</f>
        <v/>
      </c>
      <c r="P523">
        <f>IF($O523&gt;=20,"Critical",IF($O523&gt;=15,"High",IF($O523&gt;=10,"Medium",IF($O523&gt;=5,"Low",IF($O523&gt;0,"Very Low","")))))</f>
        <v/>
      </c>
      <c r="S523" s="5" t="n"/>
      <c r="V523" s="5" t="n"/>
      <c r="W523" s="6" t="n"/>
      <c r="X523" s="6" t="n"/>
      <c r="Z523" s="5" t="n"/>
    </row>
    <row r="524">
      <c r="D524" s="5" t="n"/>
      <c r="E524" s="5" t="n"/>
      <c r="F524" s="5" t="n"/>
      <c r="I524">
        <f>VALUE(LEFT($G524,1))*VALUE(LEFT($H524,1))</f>
        <v/>
      </c>
      <c r="J524">
        <f>IF($I524&gt;=20,"Critical",IF($I524&gt;=15,"High",IF($I524&gt;=10,"Medium",IF($I524&gt;=5,"Low",IF($I524&gt;0,"Very Low","")))))</f>
        <v/>
      </c>
      <c r="K524" s="5" t="n"/>
      <c r="O524">
        <f>VALUE(LEFT($M524,1))*VALUE(LEFT($N524,1))</f>
        <v/>
      </c>
      <c r="P524">
        <f>IF($O524&gt;=20,"Critical",IF($O524&gt;=15,"High",IF($O524&gt;=10,"Medium",IF($O524&gt;=5,"Low",IF($O524&gt;0,"Very Low","")))))</f>
        <v/>
      </c>
      <c r="S524" s="5" t="n"/>
      <c r="V524" s="5" t="n"/>
      <c r="W524" s="6" t="n"/>
      <c r="X524" s="6" t="n"/>
      <c r="Z524" s="5" t="n"/>
    </row>
    <row r="525">
      <c r="D525" s="5" t="n"/>
      <c r="E525" s="5" t="n"/>
      <c r="F525" s="5" t="n"/>
      <c r="I525">
        <f>VALUE(LEFT($G525,1))*VALUE(LEFT($H525,1))</f>
        <v/>
      </c>
      <c r="J525">
        <f>IF($I525&gt;=20,"Critical",IF($I525&gt;=15,"High",IF($I525&gt;=10,"Medium",IF($I525&gt;=5,"Low",IF($I525&gt;0,"Very Low","")))))</f>
        <v/>
      </c>
      <c r="K525" s="5" t="n"/>
      <c r="O525">
        <f>VALUE(LEFT($M525,1))*VALUE(LEFT($N525,1))</f>
        <v/>
      </c>
      <c r="P525">
        <f>IF($O525&gt;=20,"Critical",IF($O525&gt;=15,"High",IF($O525&gt;=10,"Medium",IF($O525&gt;=5,"Low",IF($O525&gt;0,"Very Low","")))))</f>
        <v/>
      </c>
      <c r="S525" s="5" t="n"/>
      <c r="V525" s="5" t="n"/>
      <c r="W525" s="6" t="n"/>
      <c r="X525" s="6" t="n"/>
      <c r="Z525" s="5" t="n"/>
    </row>
    <row r="526">
      <c r="D526" s="5" t="n"/>
      <c r="E526" s="5" t="n"/>
      <c r="F526" s="5" t="n"/>
      <c r="I526">
        <f>VALUE(LEFT($G526,1))*VALUE(LEFT($H526,1))</f>
        <v/>
      </c>
      <c r="J526">
        <f>IF($I526&gt;=20,"Critical",IF($I526&gt;=15,"High",IF($I526&gt;=10,"Medium",IF($I526&gt;=5,"Low",IF($I526&gt;0,"Very Low","")))))</f>
        <v/>
      </c>
      <c r="K526" s="5" t="n"/>
      <c r="O526">
        <f>VALUE(LEFT($M526,1))*VALUE(LEFT($N526,1))</f>
        <v/>
      </c>
      <c r="P526">
        <f>IF($O526&gt;=20,"Critical",IF($O526&gt;=15,"High",IF($O526&gt;=10,"Medium",IF($O526&gt;=5,"Low",IF($O526&gt;0,"Very Low","")))))</f>
        <v/>
      </c>
      <c r="S526" s="5" t="n"/>
      <c r="V526" s="5" t="n"/>
      <c r="W526" s="6" t="n"/>
      <c r="X526" s="6" t="n"/>
      <c r="Z526" s="5" t="n"/>
    </row>
    <row r="527">
      <c r="D527" s="5" t="n"/>
      <c r="E527" s="5" t="n"/>
      <c r="F527" s="5" t="n"/>
      <c r="I527">
        <f>VALUE(LEFT($G527,1))*VALUE(LEFT($H527,1))</f>
        <v/>
      </c>
      <c r="J527">
        <f>IF($I527&gt;=20,"Critical",IF($I527&gt;=15,"High",IF($I527&gt;=10,"Medium",IF($I527&gt;=5,"Low",IF($I527&gt;0,"Very Low","")))))</f>
        <v/>
      </c>
      <c r="K527" s="5" t="n"/>
      <c r="O527">
        <f>VALUE(LEFT($M527,1))*VALUE(LEFT($N527,1))</f>
        <v/>
      </c>
      <c r="P527">
        <f>IF($O527&gt;=20,"Critical",IF($O527&gt;=15,"High",IF($O527&gt;=10,"Medium",IF($O527&gt;=5,"Low",IF($O527&gt;0,"Very Low","")))))</f>
        <v/>
      </c>
      <c r="S527" s="5" t="n"/>
      <c r="V527" s="5" t="n"/>
      <c r="W527" s="6" t="n"/>
      <c r="X527" s="6" t="n"/>
      <c r="Z527" s="5" t="n"/>
    </row>
    <row r="528">
      <c r="D528" s="5" t="n"/>
      <c r="E528" s="5" t="n"/>
      <c r="F528" s="5" t="n"/>
      <c r="I528">
        <f>VALUE(LEFT($G528,1))*VALUE(LEFT($H528,1))</f>
        <v/>
      </c>
      <c r="J528">
        <f>IF($I528&gt;=20,"Critical",IF($I528&gt;=15,"High",IF($I528&gt;=10,"Medium",IF($I528&gt;=5,"Low",IF($I528&gt;0,"Very Low","")))))</f>
        <v/>
      </c>
      <c r="K528" s="5" t="n"/>
      <c r="O528">
        <f>VALUE(LEFT($M528,1))*VALUE(LEFT($N528,1))</f>
        <v/>
      </c>
      <c r="P528">
        <f>IF($O528&gt;=20,"Critical",IF($O528&gt;=15,"High",IF($O528&gt;=10,"Medium",IF($O528&gt;=5,"Low",IF($O528&gt;0,"Very Low","")))))</f>
        <v/>
      </c>
      <c r="S528" s="5" t="n"/>
      <c r="V528" s="5" t="n"/>
      <c r="W528" s="6" t="n"/>
      <c r="X528" s="6" t="n"/>
      <c r="Z528" s="5" t="n"/>
    </row>
    <row r="529">
      <c r="D529" s="5" t="n"/>
      <c r="E529" s="5" t="n"/>
      <c r="F529" s="5" t="n"/>
      <c r="I529">
        <f>VALUE(LEFT($G529,1))*VALUE(LEFT($H529,1))</f>
        <v/>
      </c>
      <c r="J529">
        <f>IF($I529&gt;=20,"Critical",IF($I529&gt;=15,"High",IF($I529&gt;=10,"Medium",IF($I529&gt;=5,"Low",IF($I529&gt;0,"Very Low","")))))</f>
        <v/>
      </c>
      <c r="K529" s="5" t="n"/>
      <c r="O529">
        <f>VALUE(LEFT($M529,1))*VALUE(LEFT($N529,1))</f>
        <v/>
      </c>
      <c r="P529">
        <f>IF($O529&gt;=20,"Critical",IF($O529&gt;=15,"High",IF($O529&gt;=10,"Medium",IF($O529&gt;=5,"Low",IF($O529&gt;0,"Very Low","")))))</f>
        <v/>
      </c>
      <c r="S529" s="5" t="n"/>
      <c r="V529" s="5" t="n"/>
      <c r="W529" s="6" t="n"/>
      <c r="X529" s="6" t="n"/>
      <c r="Z529" s="5" t="n"/>
    </row>
    <row r="530">
      <c r="D530" s="5" t="n"/>
      <c r="E530" s="5" t="n"/>
      <c r="F530" s="5" t="n"/>
      <c r="I530">
        <f>VALUE(LEFT($G530,1))*VALUE(LEFT($H530,1))</f>
        <v/>
      </c>
      <c r="J530">
        <f>IF($I530&gt;=20,"Critical",IF($I530&gt;=15,"High",IF($I530&gt;=10,"Medium",IF($I530&gt;=5,"Low",IF($I530&gt;0,"Very Low","")))))</f>
        <v/>
      </c>
      <c r="K530" s="5" t="n"/>
      <c r="O530">
        <f>VALUE(LEFT($M530,1))*VALUE(LEFT($N530,1))</f>
        <v/>
      </c>
      <c r="P530">
        <f>IF($O530&gt;=20,"Critical",IF($O530&gt;=15,"High",IF($O530&gt;=10,"Medium",IF($O530&gt;=5,"Low",IF($O530&gt;0,"Very Low","")))))</f>
        <v/>
      </c>
      <c r="S530" s="5" t="n"/>
      <c r="V530" s="5" t="n"/>
      <c r="W530" s="6" t="n"/>
      <c r="X530" s="6" t="n"/>
      <c r="Z530" s="5" t="n"/>
    </row>
    <row r="531">
      <c r="D531" s="5" t="n"/>
      <c r="E531" s="5" t="n"/>
      <c r="F531" s="5" t="n"/>
      <c r="I531">
        <f>VALUE(LEFT($G531,1))*VALUE(LEFT($H531,1))</f>
        <v/>
      </c>
      <c r="J531">
        <f>IF($I531&gt;=20,"Critical",IF($I531&gt;=15,"High",IF($I531&gt;=10,"Medium",IF($I531&gt;=5,"Low",IF($I531&gt;0,"Very Low","")))))</f>
        <v/>
      </c>
      <c r="K531" s="5" t="n"/>
      <c r="O531">
        <f>VALUE(LEFT($M531,1))*VALUE(LEFT($N531,1))</f>
        <v/>
      </c>
      <c r="P531">
        <f>IF($O531&gt;=20,"Critical",IF($O531&gt;=15,"High",IF($O531&gt;=10,"Medium",IF($O531&gt;=5,"Low",IF($O531&gt;0,"Very Low","")))))</f>
        <v/>
      </c>
      <c r="S531" s="5" t="n"/>
      <c r="V531" s="5" t="n"/>
      <c r="W531" s="6" t="n"/>
      <c r="X531" s="6" t="n"/>
      <c r="Z531" s="5" t="n"/>
    </row>
    <row r="532">
      <c r="D532" s="5" t="n"/>
      <c r="E532" s="5" t="n"/>
      <c r="F532" s="5" t="n"/>
      <c r="I532">
        <f>VALUE(LEFT($G532,1))*VALUE(LEFT($H532,1))</f>
        <v/>
      </c>
      <c r="J532">
        <f>IF($I532&gt;=20,"Critical",IF($I532&gt;=15,"High",IF($I532&gt;=10,"Medium",IF($I532&gt;=5,"Low",IF($I532&gt;0,"Very Low","")))))</f>
        <v/>
      </c>
      <c r="K532" s="5" t="n"/>
      <c r="O532">
        <f>VALUE(LEFT($M532,1))*VALUE(LEFT($N532,1))</f>
        <v/>
      </c>
      <c r="P532">
        <f>IF($O532&gt;=20,"Critical",IF($O532&gt;=15,"High",IF($O532&gt;=10,"Medium",IF($O532&gt;=5,"Low",IF($O532&gt;0,"Very Low","")))))</f>
        <v/>
      </c>
      <c r="S532" s="5" t="n"/>
      <c r="V532" s="5" t="n"/>
      <c r="W532" s="6" t="n"/>
      <c r="X532" s="6" t="n"/>
      <c r="Z532" s="5" t="n"/>
    </row>
    <row r="533">
      <c r="D533" s="5" t="n"/>
      <c r="E533" s="5" t="n"/>
      <c r="F533" s="5" t="n"/>
      <c r="I533">
        <f>VALUE(LEFT($G533,1))*VALUE(LEFT($H533,1))</f>
        <v/>
      </c>
      <c r="J533">
        <f>IF($I533&gt;=20,"Critical",IF($I533&gt;=15,"High",IF($I533&gt;=10,"Medium",IF($I533&gt;=5,"Low",IF($I533&gt;0,"Very Low","")))))</f>
        <v/>
      </c>
      <c r="K533" s="5" t="n"/>
      <c r="O533">
        <f>VALUE(LEFT($M533,1))*VALUE(LEFT($N533,1))</f>
        <v/>
      </c>
      <c r="P533">
        <f>IF($O533&gt;=20,"Critical",IF($O533&gt;=15,"High",IF($O533&gt;=10,"Medium",IF($O533&gt;=5,"Low",IF($O533&gt;0,"Very Low","")))))</f>
        <v/>
      </c>
      <c r="S533" s="5" t="n"/>
      <c r="V533" s="5" t="n"/>
      <c r="W533" s="6" t="n"/>
      <c r="X533" s="6" t="n"/>
      <c r="Z533" s="5" t="n"/>
    </row>
    <row r="534">
      <c r="D534" s="5" t="n"/>
      <c r="E534" s="5" t="n"/>
      <c r="F534" s="5" t="n"/>
      <c r="I534">
        <f>VALUE(LEFT($G534,1))*VALUE(LEFT($H534,1))</f>
        <v/>
      </c>
      <c r="J534">
        <f>IF($I534&gt;=20,"Critical",IF($I534&gt;=15,"High",IF($I534&gt;=10,"Medium",IF($I534&gt;=5,"Low",IF($I534&gt;0,"Very Low","")))))</f>
        <v/>
      </c>
      <c r="K534" s="5" t="n"/>
      <c r="O534">
        <f>VALUE(LEFT($M534,1))*VALUE(LEFT($N534,1))</f>
        <v/>
      </c>
      <c r="P534">
        <f>IF($O534&gt;=20,"Critical",IF($O534&gt;=15,"High",IF($O534&gt;=10,"Medium",IF($O534&gt;=5,"Low",IF($O534&gt;0,"Very Low","")))))</f>
        <v/>
      </c>
      <c r="S534" s="5" t="n"/>
      <c r="V534" s="5" t="n"/>
      <c r="W534" s="6" t="n"/>
      <c r="X534" s="6" t="n"/>
      <c r="Z534" s="5" t="n"/>
    </row>
    <row r="535">
      <c r="D535" s="5" t="n"/>
      <c r="E535" s="5" t="n"/>
      <c r="F535" s="5" t="n"/>
      <c r="I535">
        <f>VALUE(LEFT($G535,1))*VALUE(LEFT($H535,1))</f>
        <v/>
      </c>
      <c r="J535">
        <f>IF($I535&gt;=20,"Critical",IF($I535&gt;=15,"High",IF($I535&gt;=10,"Medium",IF($I535&gt;=5,"Low",IF($I535&gt;0,"Very Low","")))))</f>
        <v/>
      </c>
      <c r="K535" s="5" t="n"/>
      <c r="O535">
        <f>VALUE(LEFT($M535,1))*VALUE(LEFT($N535,1))</f>
        <v/>
      </c>
      <c r="P535">
        <f>IF($O535&gt;=20,"Critical",IF($O535&gt;=15,"High",IF($O535&gt;=10,"Medium",IF($O535&gt;=5,"Low",IF($O535&gt;0,"Very Low","")))))</f>
        <v/>
      </c>
      <c r="S535" s="5" t="n"/>
      <c r="V535" s="5" t="n"/>
      <c r="W535" s="6" t="n"/>
      <c r="X535" s="6" t="n"/>
      <c r="Z535" s="5" t="n"/>
    </row>
    <row r="536">
      <c r="D536" s="5" t="n"/>
      <c r="E536" s="5" t="n"/>
      <c r="F536" s="5" t="n"/>
      <c r="I536">
        <f>VALUE(LEFT($G536,1))*VALUE(LEFT($H536,1))</f>
        <v/>
      </c>
      <c r="J536">
        <f>IF($I536&gt;=20,"Critical",IF($I536&gt;=15,"High",IF($I536&gt;=10,"Medium",IF($I536&gt;=5,"Low",IF($I536&gt;0,"Very Low","")))))</f>
        <v/>
      </c>
      <c r="K536" s="5" t="n"/>
      <c r="O536">
        <f>VALUE(LEFT($M536,1))*VALUE(LEFT($N536,1))</f>
        <v/>
      </c>
      <c r="P536">
        <f>IF($O536&gt;=20,"Critical",IF($O536&gt;=15,"High",IF($O536&gt;=10,"Medium",IF($O536&gt;=5,"Low",IF($O536&gt;0,"Very Low","")))))</f>
        <v/>
      </c>
      <c r="S536" s="5" t="n"/>
      <c r="V536" s="5" t="n"/>
      <c r="W536" s="6" t="n"/>
      <c r="X536" s="6" t="n"/>
      <c r="Z536" s="5" t="n"/>
    </row>
    <row r="537">
      <c r="D537" s="5" t="n"/>
      <c r="E537" s="5" t="n"/>
      <c r="F537" s="5" t="n"/>
      <c r="I537">
        <f>VALUE(LEFT($G537,1))*VALUE(LEFT($H537,1))</f>
        <v/>
      </c>
      <c r="J537">
        <f>IF($I537&gt;=20,"Critical",IF($I537&gt;=15,"High",IF($I537&gt;=10,"Medium",IF($I537&gt;=5,"Low",IF($I537&gt;0,"Very Low","")))))</f>
        <v/>
      </c>
      <c r="K537" s="5" t="n"/>
      <c r="O537">
        <f>VALUE(LEFT($M537,1))*VALUE(LEFT($N537,1))</f>
        <v/>
      </c>
      <c r="P537">
        <f>IF($O537&gt;=20,"Critical",IF($O537&gt;=15,"High",IF($O537&gt;=10,"Medium",IF($O537&gt;=5,"Low",IF($O537&gt;0,"Very Low","")))))</f>
        <v/>
      </c>
      <c r="S537" s="5" t="n"/>
      <c r="V537" s="5" t="n"/>
      <c r="W537" s="6" t="n"/>
      <c r="X537" s="6" t="n"/>
      <c r="Z537" s="5" t="n"/>
    </row>
    <row r="538">
      <c r="D538" s="5" t="n"/>
      <c r="E538" s="5" t="n"/>
      <c r="F538" s="5" t="n"/>
      <c r="I538">
        <f>VALUE(LEFT($G538,1))*VALUE(LEFT($H538,1))</f>
        <v/>
      </c>
      <c r="J538">
        <f>IF($I538&gt;=20,"Critical",IF($I538&gt;=15,"High",IF($I538&gt;=10,"Medium",IF($I538&gt;=5,"Low",IF($I538&gt;0,"Very Low","")))))</f>
        <v/>
      </c>
      <c r="K538" s="5" t="n"/>
      <c r="O538">
        <f>VALUE(LEFT($M538,1))*VALUE(LEFT($N538,1))</f>
        <v/>
      </c>
      <c r="P538">
        <f>IF($O538&gt;=20,"Critical",IF($O538&gt;=15,"High",IF($O538&gt;=10,"Medium",IF($O538&gt;=5,"Low",IF($O538&gt;0,"Very Low","")))))</f>
        <v/>
      </c>
      <c r="S538" s="5" t="n"/>
      <c r="V538" s="5" t="n"/>
      <c r="W538" s="6" t="n"/>
      <c r="X538" s="6" t="n"/>
      <c r="Z538" s="5" t="n"/>
    </row>
    <row r="539">
      <c r="D539" s="5" t="n"/>
      <c r="E539" s="5" t="n"/>
      <c r="F539" s="5" t="n"/>
      <c r="I539">
        <f>VALUE(LEFT($G539,1))*VALUE(LEFT($H539,1))</f>
        <v/>
      </c>
      <c r="J539">
        <f>IF($I539&gt;=20,"Critical",IF($I539&gt;=15,"High",IF($I539&gt;=10,"Medium",IF($I539&gt;=5,"Low",IF($I539&gt;0,"Very Low","")))))</f>
        <v/>
      </c>
      <c r="K539" s="5" t="n"/>
      <c r="O539">
        <f>VALUE(LEFT($M539,1))*VALUE(LEFT($N539,1))</f>
        <v/>
      </c>
      <c r="P539">
        <f>IF($O539&gt;=20,"Critical",IF($O539&gt;=15,"High",IF($O539&gt;=10,"Medium",IF($O539&gt;=5,"Low",IF($O539&gt;0,"Very Low","")))))</f>
        <v/>
      </c>
      <c r="S539" s="5" t="n"/>
      <c r="V539" s="5" t="n"/>
      <c r="W539" s="6" t="n"/>
      <c r="X539" s="6" t="n"/>
      <c r="Z539" s="5" t="n"/>
    </row>
    <row r="540">
      <c r="D540" s="5" t="n"/>
      <c r="E540" s="5" t="n"/>
      <c r="F540" s="5" t="n"/>
      <c r="I540">
        <f>VALUE(LEFT($G540,1))*VALUE(LEFT($H540,1))</f>
        <v/>
      </c>
      <c r="J540">
        <f>IF($I540&gt;=20,"Critical",IF($I540&gt;=15,"High",IF($I540&gt;=10,"Medium",IF($I540&gt;=5,"Low",IF($I540&gt;0,"Very Low","")))))</f>
        <v/>
      </c>
      <c r="K540" s="5" t="n"/>
      <c r="O540">
        <f>VALUE(LEFT($M540,1))*VALUE(LEFT($N540,1))</f>
        <v/>
      </c>
      <c r="P540">
        <f>IF($O540&gt;=20,"Critical",IF($O540&gt;=15,"High",IF($O540&gt;=10,"Medium",IF($O540&gt;=5,"Low",IF($O540&gt;0,"Very Low","")))))</f>
        <v/>
      </c>
      <c r="S540" s="5" t="n"/>
      <c r="V540" s="5" t="n"/>
      <c r="W540" s="6" t="n"/>
      <c r="X540" s="6" t="n"/>
      <c r="Z540" s="5" t="n"/>
    </row>
    <row r="541">
      <c r="D541" s="5" t="n"/>
      <c r="E541" s="5" t="n"/>
      <c r="F541" s="5" t="n"/>
      <c r="I541">
        <f>VALUE(LEFT($G541,1))*VALUE(LEFT($H541,1))</f>
        <v/>
      </c>
      <c r="J541">
        <f>IF($I541&gt;=20,"Critical",IF($I541&gt;=15,"High",IF($I541&gt;=10,"Medium",IF($I541&gt;=5,"Low",IF($I541&gt;0,"Very Low","")))))</f>
        <v/>
      </c>
      <c r="K541" s="5" t="n"/>
      <c r="O541">
        <f>VALUE(LEFT($M541,1))*VALUE(LEFT($N541,1))</f>
        <v/>
      </c>
      <c r="P541">
        <f>IF($O541&gt;=20,"Critical",IF($O541&gt;=15,"High",IF($O541&gt;=10,"Medium",IF($O541&gt;=5,"Low",IF($O541&gt;0,"Very Low","")))))</f>
        <v/>
      </c>
      <c r="S541" s="5" t="n"/>
      <c r="V541" s="5" t="n"/>
      <c r="W541" s="6" t="n"/>
      <c r="X541" s="6" t="n"/>
      <c r="Z541" s="5" t="n"/>
    </row>
    <row r="542">
      <c r="D542" s="5" t="n"/>
      <c r="E542" s="5" t="n"/>
      <c r="F542" s="5" t="n"/>
      <c r="I542">
        <f>VALUE(LEFT($G542,1))*VALUE(LEFT($H542,1))</f>
        <v/>
      </c>
      <c r="J542">
        <f>IF($I542&gt;=20,"Critical",IF($I542&gt;=15,"High",IF($I542&gt;=10,"Medium",IF($I542&gt;=5,"Low",IF($I542&gt;0,"Very Low","")))))</f>
        <v/>
      </c>
      <c r="K542" s="5" t="n"/>
      <c r="O542">
        <f>VALUE(LEFT($M542,1))*VALUE(LEFT($N542,1))</f>
        <v/>
      </c>
      <c r="P542">
        <f>IF($O542&gt;=20,"Critical",IF($O542&gt;=15,"High",IF($O542&gt;=10,"Medium",IF($O542&gt;=5,"Low",IF($O542&gt;0,"Very Low","")))))</f>
        <v/>
      </c>
      <c r="S542" s="5" t="n"/>
      <c r="V542" s="5" t="n"/>
      <c r="W542" s="6" t="n"/>
      <c r="X542" s="6" t="n"/>
      <c r="Z542" s="5" t="n"/>
    </row>
    <row r="543">
      <c r="D543" s="5" t="n"/>
      <c r="E543" s="5" t="n"/>
      <c r="F543" s="5" t="n"/>
      <c r="I543">
        <f>VALUE(LEFT($G543,1))*VALUE(LEFT($H543,1))</f>
        <v/>
      </c>
      <c r="J543">
        <f>IF($I543&gt;=20,"Critical",IF($I543&gt;=15,"High",IF($I543&gt;=10,"Medium",IF($I543&gt;=5,"Low",IF($I543&gt;0,"Very Low","")))))</f>
        <v/>
      </c>
      <c r="K543" s="5" t="n"/>
      <c r="O543">
        <f>VALUE(LEFT($M543,1))*VALUE(LEFT($N543,1))</f>
        <v/>
      </c>
      <c r="P543">
        <f>IF($O543&gt;=20,"Critical",IF($O543&gt;=15,"High",IF($O543&gt;=10,"Medium",IF($O543&gt;=5,"Low",IF($O543&gt;0,"Very Low","")))))</f>
        <v/>
      </c>
      <c r="S543" s="5" t="n"/>
      <c r="V543" s="5" t="n"/>
      <c r="W543" s="6" t="n"/>
      <c r="X543" s="6" t="n"/>
      <c r="Z543" s="5" t="n"/>
    </row>
    <row r="544">
      <c r="D544" s="5" t="n"/>
      <c r="E544" s="5" t="n"/>
      <c r="F544" s="5" t="n"/>
      <c r="I544">
        <f>VALUE(LEFT($G544,1))*VALUE(LEFT($H544,1))</f>
        <v/>
      </c>
      <c r="J544">
        <f>IF($I544&gt;=20,"Critical",IF($I544&gt;=15,"High",IF($I544&gt;=10,"Medium",IF($I544&gt;=5,"Low",IF($I544&gt;0,"Very Low","")))))</f>
        <v/>
      </c>
      <c r="K544" s="5" t="n"/>
      <c r="O544">
        <f>VALUE(LEFT($M544,1))*VALUE(LEFT($N544,1))</f>
        <v/>
      </c>
      <c r="P544">
        <f>IF($O544&gt;=20,"Critical",IF($O544&gt;=15,"High",IF($O544&gt;=10,"Medium",IF($O544&gt;=5,"Low",IF($O544&gt;0,"Very Low","")))))</f>
        <v/>
      </c>
      <c r="S544" s="5" t="n"/>
      <c r="V544" s="5" t="n"/>
      <c r="W544" s="6" t="n"/>
      <c r="X544" s="6" t="n"/>
      <c r="Z544" s="5" t="n"/>
    </row>
    <row r="545">
      <c r="D545" s="5" t="n"/>
      <c r="E545" s="5" t="n"/>
      <c r="F545" s="5" t="n"/>
      <c r="I545">
        <f>VALUE(LEFT($G545,1))*VALUE(LEFT($H545,1))</f>
        <v/>
      </c>
      <c r="J545">
        <f>IF($I545&gt;=20,"Critical",IF($I545&gt;=15,"High",IF($I545&gt;=10,"Medium",IF($I545&gt;=5,"Low",IF($I545&gt;0,"Very Low","")))))</f>
        <v/>
      </c>
      <c r="K545" s="5" t="n"/>
      <c r="O545">
        <f>VALUE(LEFT($M545,1))*VALUE(LEFT($N545,1))</f>
        <v/>
      </c>
      <c r="P545">
        <f>IF($O545&gt;=20,"Critical",IF($O545&gt;=15,"High",IF($O545&gt;=10,"Medium",IF($O545&gt;=5,"Low",IF($O545&gt;0,"Very Low","")))))</f>
        <v/>
      </c>
      <c r="S545" s="5" t="n"/>
      <c r="V545" s="5" t="n"/>
      <c r="W545" s="6" t="n"/>
      <c r="X545" s="6" t="n"/>
      <c r="Z545" s="5" t="n"/>
    </row>
    <row r="546">
      <c r="D546" s="5" t="n"/>
      <c r="E546" s="5" t="n"/>
      <c r="F546" s="5" t="n"/>
      <c r="I546">
        <f>VALUE(LEFT($G546,1))*VALUE(LEFT($H546,1))</f>
        <v/>
      </c>
      <c r="J546">
        <f>IF($I546&gt;=20,"Critical",IF($I546&gt;=15,"High",IF($I546&gt;=10,"Medium",IF($I546&gt;=5,"Low",IF($I546&gt;0,"Very Low","")))))</f>
        <v/>
      </c>
      <c r="K546" s="5" t="n"/>
      <c r="O546">
        <f>VALUE(LEFT($M546,1))*VALUE(LEFT($N546,1))</f>
        <v/>
      </c>
      <c r="P546">
        <f>IF($O546&gt;=20,"Critical",IF($O546&gt;=15,"High",IF($O546&gt;=10,"Medium",IF($O546&gt;=5,"Low",IF($O546&gt;0,"Very Low","")))))</f>
        <v/>
      </c>
      <c r="S546" s="5" t="n"/>
      <c r="V546" s="5" t="n"/>
      <c r="W546" s="6" t="n"/>
      <c r="X546" s="6" t="n"/>
      <c r="Z546" s="5" t="n"/>
    </row>
    <row r="547">
      <c r="D547" s="5" t="n"/>
      <c r="E547" s="5" t="n"/>
      <c r="F547" s="5" t="n"/>
      <c r="I547">
        <f>VALUE(LEFT($G547,1))*VALUE(LEFT($H547,1))</f>
        <v/>
      </c>
      <c r="J547">
        <f>IF($I547&gt;=20,"Critical",IF($I547&gt;=15,"High",IF($I547&gt;=10,"Medium",IF($I547&gt;=5,"Low",IF($I547&gt;0,"Very Low","")))))</f>
        <v/>
      </c>
      <c r="K547" s="5" t="n"/>
      <c r="O547">
        <f>VALUE(LEFT($M547,1))*VALUE(LEFT($N547,1))</f>
        <v/>
      </c>
      <c r="P547">
        <f>IF($O547&gt;=20,"Critical",IF($O547&gt;=15,"High",IF($O547&gt;=10,"Medium",IF($O547&gt;=5,"Low",IF($O547&gt;0,"Very Low","")))))</f>
        <v/>
      </c>
      <c r="S547" s="5" t="n"/>
      <c r="V547" s="5" t="n"/>
      <c r="W547" s="6" t="n"/>
      <c r="X547" s="6" t="n"/>
      <c r="Z547" s="5" t="n"/>
    </row>
    <row r="548">
      <c r="D548" s="5" t="n"/>
      <c r="E548" s="5" t="n"/>
      <c r="F548" s="5" t="n"/>
      <c r="I548">
        <f>VALUE(LEFT($G548,1))*VALUE(LEFT($H548,1))</f>
        <v/>
      </c>
      <c r="J548">
        <f>IF($I548&gt;=20,"Critical",IF($I548&gt;=15,"High",IF($I548&gt;=10,"Medium",IF($I548&gt;=5,"Low",IF($I548&gt;0,"Very Low","")))))</f>
        <v/>
      </c>
      <c r="K548" s="5" t="n"/>
      <c r="O548">
        <f>VALUE(LEFT($M548,1))*VALUE(LEFT($N548,1))</f>
        <v/>
      </c>
      <c r="P548">
        <f>IF($O548&gt;=20,"Critical",IF($O548&gt;=15,"High",IF($O548&gt;=10,"Medium",IF($O548&gt;=5,"Low",IF($O548&gt;0,"Very Low","")))))</f>
        <v/>
      </c>
      <c r="S548" s="5" t="n"/>
      <c r="V548" s="5" t="n"/>
      <c r="W548" s="6" t="n"/>
      <c r="X548" s="6" t="n"/>
      <c r="Z548" s="5" t="n"/>
    </row>
    <row r="549">
      <c r="D549" s="5" t="n"/>
      <c r="E549" s="5" t="n"/>
      <c r="F549" s="5" t="n"/>
      <c r="I549">
        <f>VALUE(LEFT($G549,1))*VALUE(LEFT($H549,1))</f>
        <v/>
      </c>
      <c r="J549">
        <f>IF($I549&gt;=20,"Critical",IF($I549&gt;=15,"High",IF($I549&gt;=10,"Medium",IF($I549&gt;=5,"Low",IF($I549&gt;0,"Very Low","")))))</f>
        <v/>
      </c>
      <c r="K549" s="5" t="n"/>
      <c r="O549">
        <f>VALUE(LEFT($M549,1))*VALUE(LEFT($N549,1))</f>
        <v/>
      </c>
      <c r="P549">
        <f>IF($O549&gt;=20,"Critical",IF($O549&gt;=15,"High",IF($O549&gt;=10,"Medium",IF($O549&gt;=5,"Low",IF($O549&gt;0,"Very Low","")))))</f>
        <v/>
      </c>
      <c r="S549" s="5" t="n"/>
      <c r="V549" s="5" t="n"/>
      <c r="W549" s="6" t="n"/>
      <c r="X549" s="6" t="n"/>
      <c r="Z549" s="5" t="n"/>
    </row>
    <row r="550">
      <c r="D550" s="5" t="n"/>
      <c r="E550" s="5" t="n"/>
      <c r="F550" s="5" t="n"/>
      <c r="I550">
        <f>VALUE(LEFT($G550,1))*VALUE(LEFT($H550,1))</f>
        <v/>
      </c>
      <c r="J550">
        <f>IF($I550&gt;=20,"Critical",IF($I550&gt;=15,"High",IF($I550&gt;=10,"Medium",IF($I550&gt;=5,"Low",IF($I550&gt;0,"Very Low","")))))</f>
        <v/>
      </c>
      <c r="K550" s="5" t="n"/>
      <c r="O550">
        <f>VALUE(LEFT($M550,1))*VALUE(LEFT($N550,1))</f>
        <v/>
      </c>
      <c r="P550">
        <f>IF($O550&gt;=20,"Critical",IF($O550&gt;=15,"High",IF($O550&gt;=10,"Medium",IF($O550&gt;=5,"Low",IF($O550&gt;0,"Very Low","")))))</f>
        <v/>
      </c>
      <c r="S550" s="5" t="n"/>
      <c r="V550" s="5" t="n"/>
      <c r="W550" s="6" t="n"/>
      <c r="X550" s="6" t="n"/>
      <c r="Z550" s="5" t="n"/>
    </row>
    <row r="551">
      <c r="D551" s="5" t="n"/>
      <c r="E551" s="5" t="n"/>
      <c r="F551" s="5" t="n"/>
      <c r="I551">
        <f>VALUE(LEFT($G551,1))*VALUE(LEFT($H551,1))</f>
        <v/>
      </c>
      <c r="J551">
        <f>IF($I551&gt;=20,"Critical",IF($I551&gt;=15,"High",IF($I551&gt;=10,"Medium",IF($I551&gt;=5,"Low",IF($I551&gt;0,"Very Low","")))))</f>
        <v/>
      </c>
      <c r="K551" s="5" t="n"/>
      <c r="O551">
        <f>VALUE(LEFT($M551,1))*VALUE(LEFT($N551,1))</f>
        <v/>
      </c>
      <c r="P551">
        <f>IF($O551&gt;=20,"Critical",IF($O551&gt;=15,"High",IF($O551&gt;=10,"Medium",IF($O551&gt;=5,"Low",IF($O551&gt;0,"Very Low","")))))</f>
        <v/>
      </c>
      <c r="S551" s="5" t="n"/>
      <c r="V551" s="5" t="n"/>
      <c r="W551" s="6" t="n"/>
      <c r="X551" s="6" t="n"/>
      <c r="Z551" s="5" t="n"/>
    </row>
    <row r="552">
      <c r="D552" s="5" t="n"/>
      <c r="E552" s="5" t="n"/>
      <c r="F552" s="5" t="n"/>
      <c r="I552">
        <f>VALUE(LEFT($G552,1))*VALUE(LEFT($H552,1))</f>
        <v/>
      </c>
      <c r="J552">
        <f>IF($I552&gt;=20,"Critical",IF($I552&gt;=15,"High",IF($I552&gt;=10,"Medium",IF($I552&gt;=5,"Low",IF($I552&gt;0,"Very Low","")))))</f>
        <v/>
      </c>
      <c r="K552" s="5" t="n"/>
      <c r="O552">
        <f>VALUE(LEFT($M552,1))*VALUE(LEFT($N552,1))</f>
        <v/>
      </c>
      <c r="P552">
        <f>IF($O552&gt;=20,"Critical",IF($O552&gt;=15,"High",IF($O552&gt;=10,"Medium",IF($O552&gt;=5,"Low",IF($O552&gt;0,"Very Low","")))))</f>
        <v/>
      </c>
      <c r="S552" s="5" t="n"/>
      <c r="V552" s="5" t="n"/>
      <c r="W552" s="6" t="n"/>
      <c r="X552" s="6" t="n"/>
      <c r="Z552" s="5" t="n"/>
    </row>
    <row r="553">
      <c r="D553" s="5" t="n"/>
      <c r="E553" s="5" t="n"/>
      <c r="F553" s="5" t="n"/>
      <c r="I553">
        <f>VALUE(LEFT($G553,1))*VALUE(LEFT($H553,1))</f>
        <v/>
      </c>
      <c r="J553">
        <f>IF($I553&gt;=20,"Critical",IF($I553&gt;=15,"High",IF($I553&gt;=10,"Medium",IF($I553&gt;=5,"Low",IF($I553&gt;0,"Very Low","")))))</f>
        <v/>
      </c>
      <c r="K553" s="5" t="n"/>
      <c r="O553">
        <f>VALUE(LEFT($M553,1))*VALUE(LEFT($N553,1))</f>
        <v/>
      </c>
      <c r="P553">
        <f>IF($O553&gt;=20,"Critical",IF($O553&gt;=15,"High",IF($O553&gt;=10,"Medium",IF($O553&gt;=5,"Low",IF($O553&gt;0,"Very Low","")))))</f>
        <v/>
      </c>
      <c r="S553" s="5" t="n"/>
      <c r="V553" s="5" t="n"/>
      <c r="W553" s="6" t="n"/>
      <c r="X553" s="6" t="n"/>
      <c r="Z553" s="5" t="n"/>
    </row>
    <row r="554">
      <c r="D554" s="5" t="n"/>
      <c r="E554" s="5" t="n"/>
      <c r="F554" s="5" t="n"/>
      <c r="I554">
        <f>VALUE(LEFT($G554,1))*VALUE(LEFT($H554,1))</f>
        <v/>
      </c>
      <c r="J554">
        <f>IF($I554&gt;=20,"Critical",IF($I554&gt;=15,"High",IF($I554&gt;=10,"Medium",IF($I554&gt;=5,"Low",IF($I554&gt;0,"Very Low","")))))</f>
        <v/>
      </c>
      <c r="K554" s="5" t="n"/>
      <c r="O554">
        <f>VALUE(LEFT($M554,1))*VALUE(LEFT($N554,1))</f>
        <v/>
      </c>
      <c r="P554">
        <f>IF($O554&gt;=20,"Critical",IF($O554&gt;=15,"High",IF($O554&gt;=10,"Medium",IF($O554&gt;=5,"Low",IF($O554&gt;0,"Very Low","")))))</f>
        <v/>
      </c>
      <c r="S554" s="5" t="n"/>
      <c r="V554" s="5" t="n"/>
      <c r="W554" s="6" t="n"/>
      <c r="X554" s="6" t="n"/>
      <c r="Z554" s="5" t="n"/>
    </row>
    <row r="555">
      <c r="D555" s="5" t="n"/>
      <c r="E555" s="5" t="n"/>
      <c r="F555" s="5" t="n"/>
      <c r="I555">
        <f>VALUE(LEFT($G555,1))*VALUE(LEFT($H555,1))</f>
        <v/>
      </c>
      <c r="J555">
        <f>IF($I555&gt;=20,"Critical",IF($I555&gt;=15,"High",IF($I555&gt;=10,"Medium",IF($I555&gt;=5,"Low",IF($I555&gt;0,"Very Low","")))))</f>
        <v/>
      </c>
      <c r="K555" s="5" t="n"/>
      <c r="O555">
        <f>VALUE(LEFT($M555,1))*VALUE(LEFT($N555,1))</f>
        <v/>
      </c>
      <c r="P555">
        <f>IF($O555&gt;=20,"Critical",IF($O555&gt;=15,"High",IF($O555&gt;=10,"Medium",IF($O555&gt;=5,"Low",IF($O555&gt;0,"Very Low","")))))</f>
        <v/>
      </c>
      <c r="S555" s="5" t="n"/>
      <c r="V555" s="5" t="n"/>
      <c r="W555" s="6" t="n"/>
      <c r="X555" s="6" t="n"/>
      <c r="Z555" s="5" t="n"/>
    </row>
    <row r="556">
      <c r="D556" s="5" t="n"/>
      <c r="E556" s="5" t="n"/>
      <c r="F556" s="5" t="n"/>
      <c r="I556">
        <f>VALUE(LEFT($G556,1))*VALUE(LEFT($H556,1))</f>
        <v/>
      </c>
      <c r="J556">
        <f>IF($I556&gt;=20,"Critical",IF($I556&gt;=15,"High",IF($I556&gt;=10,"Medium",IF($I556&gt;=5,"Low",IF($I556&gt;0,"Very Low","")))))</f>
        <v/>
      </c>
      <c r="K556" s="5" t="n"/>
      <c r="O556">
        <f>VALUE(LEFT($M556,1))*VALUE(LEFT($N556,1))</f>
        <v/>
      </c>
      <c r="P556">
        <f>IF($O556&gt;=20,"Critical",IF($O556&gt;=15,"High",IF($O556&gt;=10,"Medium",IF($O556&gt;=5,"Low",IF($O556&gt;0,"Very Low","")))))</f>
        <v/>
      </c>
      <c r="S556" s="5" t="n"/>
      <c r="V556" s="5" t="n"/>
      <c r="W556" s="6" t="n"/>
      <c r="X556" s="6" t="n"/>
      <c r="Z556" s="5" t="n"/>
    </row>
    <row r="557">
      <c r="D557" s="5" t="n"/>
      <c r="E557" s="5" t="n"/>
      <c r="F557" s="5" t="n"/>
      <c r="I557">
        <f>VALUE(LEFT($G557,1))*VALUE(LEFT($H557,1))</f>
        <v/>
      </c>
      <c r="J557">
        <f>IF($I557&gt;=20,"Critical",IF($I557&gt;=15,"High",IF($I557&gt;=10,"Medium",IF($I557&gt;=5,"Low",IF($I557&gt;0,"Very Low","")))))</f>
        <v/>
      </c>
      <c r="K557" s="5" t="n"/>
      <c r="O557">
        <f>VALUE(LEFT($M557,1))*VALUE(LEFT($N557,1))</f>
        <v/>
      </c>
      <c r="P557">
        <f>IF($O557&gt;=20,"Critical",IF($O557&gt;=15,"High",IF($O557&gt;=10,"Medium",IF($O557&gt;=5,"Low",IF($O557&gt;0,"Very Low","")))))</f>
        <v/>
      </c>
      <c r="S557" s="5" t="n"/>
      <c r="V557" s="5" t="n"/>
      <c r="W557" s="6" t="n"/>
      <c r="X557" s="6" t="n"/>
      <c r="Z557" s="5" t="n"/>
    </row>
    <row r="558">
      <c r="D558" s="5" t="n"/>
      <c r="E558" s="5" t="n"/>
      <c r="F558" s="5" t="n"/>
      <c r="I558">
        <f>VALUE(LEFT($G558,1))*VALUE(LEFT($H558,1))</f>
        <v/>
      </c>
      <c r="J558">
        <f>IF($I558&gt;=20,"Critical",IF($I558&gt;=15,"High",IF($I558&gt;=10,"Medium",IF($I558&gt;=5,"Low",IF($I558&gt;0,"Very Low","")))))</f>
        <v/>
      </c>
      <c r="K558" s="5" t="n"/>
      <c r="O558">
        <f>VALUE(LEFT($M558,1))*VALUE(LEFT($N558,1))</f>
        <v/>
      </c>
      <c r="P558">
        <f>IF($O558&gt;=20,"Critical",IF($O558&gt;=15,"High",IF($O558&gt;=10,"Medium",IF($O558&gt;=5,"Low",IF($O558&gt;0,"Very Low","")))))</f>
        <v/>
      </c>
      <c r="S558" s="5" t="n"/>
      <c r="V558" s="5" t="n"/>
      <c r="W558" s="6" t="n"/>
      <c r="X558" s="6" t="n"/>
      <c r="Z558" s="5" t="n"/>
    </row>
    <row r="559">
      <c r="D559" s="5" t="n"/>
      <c r="E559" s="5" t="n"/>
      <c r="F559" s="5" t="n"/>
      <c r="I559">
        <f>VALUE(LEFT($G559,1))*VALUE(LEFT($H559,1))</f>
        <v/>
      </c>
      <c r="J559">
        <f>IF($I559&gt;=20,"Critical",IF($I559&gt;=15,"High",IF($I559&gt;=10,"Medium",IF($I559&gt;=5,"Low",IF($I559&gt;0,"Very Low","")))))</f>
        <v/>
      </c>
      <c r="K559" s="5" t="n"/>
      <c r="O559">
        <f>VALUE(LEFT($M559,1))*VALUE(LEFT($N559,1))</f>
        <v/>
      </c>
      <c r="P559">
        <f>IF($O559&gt;=20,"Critical",IF($O559&gt;=15,"High",IF($O559&gt;=10,"Medium",IF($O559&gt;=5,"Low",IF($O559&gt;0,"Very Low","")))))</f>
        <v/>
      </c>
      <c r="S559" s="5" t="n"/>
      <c r="V559" s="5" t="n"/>
      <c r="W559" s="6" t="n"/>
      <c r="X559" s="6" t="n"/>
      <c r="Z559" s="5" t="n"/>
    </row>
    <row r="560">
      <c r="D560" s="5" t="n"/>
      <c r="E560" s="5" t="n"/>
      <c r="F560" s="5" t="n"/>
      <c r="I560">
        <f>VALUE(LEFT($G560,1))*VALUE(LEFT($H560,1))</f>
        <v/>
      </c>
      <c r="J560">
        <f>IF($I560&gt;=20,"Critical",IF($I560&gt;=15,"High",IF($I560&gt;=10,"Medium",IF($I560&gt;=5,"Low",IF($I560&gt;0,"Very Low","")))))</f>
        <v/>
      </c>
      <c r="K560" s="5" t="n"/>
      <c r="O560">
        <f>VALUE(LEFT($M560,1))*VALUE(LEFT($N560,1))</f>
        <v/>
      </c>
      <c r="P560">
        <f>IF($O560&gt;=20,"Critical",IF($O560&gt;=15,"High",IF($O560&gt;=10,"Medium",IF($O560&gt;=5,"Low",IF($O560&gt;0,"Very Low","")))))</f>
        <v/>
      </c>
      <c r="S560" s="5" t="n"/>
      <c r="V560" s="5" t="n"/>
      <c r="W560" s="6" t="n"/>
      <c r="X560" s="6" t="n"/>
      <c r="Z560" s="5" t="n"/>
    </row>
    <row r="561">
      <c r="D561" s="5" t="n"/>
      <c r="E561" s="5" t="n"/>
      <c r="F561" s="5" t="n"/>
      <c r="I561">
        <f>VALUE(LEFT($G561,1))*VALUE(LEFT($H561,1))</f>
        <v/>
      </c>
      <c r="J561">
        <f>IF($I561&gt;=20,"Critical",IF($I561&gt;=15,"High",IF($I561&gt;=10,"Medium",IF($I561&gt;=5,"Low",IF($I561&gt;0,"Very Low","")))))</f>
        <v/>
      </c>
      <c r="K561" s="5" t="n"/>
      <c r="O561">
        <f>VALUE(LEFT($M561,1))*VALUE(LEFT($N561,1))</f>
        <v/>
      </c>
      <c r="P561">
        <f>IF($O561&gt;=20,"Critical",IF($O561&gt;=15,"High",IF($O561&gt;=10,"Medium",IF($O561&gt;=5,"Low",IF($O561&gt;0,"Very Low","")))))</f>
        <v/>
      </c>
      <c r="S561" s="5" t="n"/>
      <c r="V561" s="5" t="n"/>
      <c r="W561" s="6" t="n"/>
      <c r="X561" s="6" t="n"/>
      <c r="Z561" s="5" t="n"/>
    </row>
    <row r="562">
      <c r="D562" s="5" t="n"/>
      <c r="E562" s="5" t="n"/>
      <c r="F562" s="5" t="n"/>
      <c r="I562">
        <f>VALUE(LEFT($G562,1))*VALUE(LEFT($H562,1))</f>
        <v/>
      </c>
      <c r="J562">
        <f>IF($I562&gt;=20,"Critical",IF($I562&gt;=15,"High",IF($I562&gt;=10,"Medium",IF($I562&gt;=5,"Low",IF($I562&gt;0,"Very Low","")))))</f>
        <v/>
      </c>
      <c r="K562" s="5" t="n"/>
      <c r="O562">
        <f>VALUE(LEFT($M562,1))*VALUE(LEFT($N562,1))</f>
        <v/>
      </c>
      <c r="P562">
        <f>IF($O562&gt;=20,"Critical",IF($O562&gt;=15,"High",IF($O562&gt;=10,"Medium",IF($O562&gt;=5,"Low",IF($O562&gt;0,"Very Low","")))))</f>
        <v/>
      </c>
      <c r="S562" s="5" t="n"/>
      <c r="V562" s="5" t="n"/>
      <c r="W562" s="6" t="n"/>
      <c r="X562" s="6" t="n"/>
      <c r="Z562" s="5" t="n"/>
    </row>
    <row r="563">
      <c r="D563" s="5" t="n"/>
      <c r="E563" s="5" t="n"/>
      <c r="F563" s="5" t="n"/>
      <c r="I563">
        <f>VALUE(LEFT($G563,1))*VALUE(LEFT($H563,1))</f>
        <v/>
      </c>
      <c r="J563">
        <f>IF($I563&gt;=20,"Critical",IF($I563&gt;=15,"High",IF($I563&gt;=10,"Medium",IF($I563&gt;=5,"Low",IF($I563&gt;0,"Very Low","")))))</f>
        <v/>
      </c>
      <c r="K563" s="5" t="n"/>
      <c r="O563">
        <f>VALUE(LEFT($M563,1))*VALUE(LEFT($N563,1))</f>
        <v/>
      </c>
      <c r="P563">
        <f>IF($O563&gt;=20,"Critical",IF($O563&gt;=15,"High",IF($O563&gt;=10,"Medium",IF($O563&gt;=5,"Low",IF($O563&gt;0,"Very Low","")))))</f>
        <v/>
      </c>
      <c r="S563" s="5" t="n"/>
      <c r="V563" s="5" t="n"/>
      <c r="W563" s="6" t="n"/>
      <c r="X563" s="6" t="n"/>
      <c r="Z563" s="5" t="n"/>
    </row>
    <row r="564">
      <c r="D564" s="5" t="n"/>
      <c r="E564" s="5" t="n"/>
      <c r="F564" s="5" t="n"/>
      <c r="I564">
        <f>VALUE(LEFT($G564,1))*VALUE(LEFT($H564,1))</f>
        <v/>
      </c>
      <c r="J564">
        <f>IF($I564&gt;=20,"Critical",IF($I564&gt;=15,"High",IF($I564&gt;=10,"Medium",IF($I564&gt;=5,"Low",IF($I564&gt;0,"Very Low","")))))</f>
        <v/>
      </c>
      <c r="K564" s="5" t="n"/>
      <c r="O564">
        <f>VALUE(LEFT($M564,1))*VALUE(LEFT($N564,1))</f>
        <v/>
      </c>
      <c r="P564">
        <f>IF($O564&gt;=20,"Critical",IF($O564&gt;=15,"High",IF($O564&gt;=10,"Medium",IF($O564&gt;=5,"Low",IF($O564&gt;0,"Very Low","")))))</f>
        <v/>
      </c>
      <c r="S564" s="5" t="n"/>
      <c r="V564" s="5" t="n"/>
      <c r="W564" s="6" t="n"/>
      <c r="X564" s="6" t="n"/>
      <c r="Z564" s="5" t="n"/>
    </row>
    <row r="565">
      <c r="D565" s="5" t="n"/>
      <c r="E565" s="5" t="n"/>
      <c r="F565" s="5" t="n"/>
      <c r="I565">
        <f>VALUE(LEFT($G565,1))*VALUE(LEFT($H565,1))</f>
        <v/>
      </c>
      <c r="J565">
        <f>IF($I565&gt;=20,"Critical",IF($I565&gt;=15,"High",IF($I565&gt;=10,"Medium",IF($I565&gt;=5,"Low",IF($I565&gt;0,"Very Low","")))))</f>
        <v/>
      </c>
      <c r="K565" s="5" t="n"/>
      <c r="O565">
        <f>VALUE(LEFT($M565,1))*VALUE(LEFT($N565,1))</f>
        <v/>
      </c>
      <c r="P565">
        <f>IF($O565&gt;=20,"Critical",IF($O565&gt;=15,"High",IF($O565&gt;=10,"Medium",IF($O565&gt;=5,"Low",IF($O565&gt;0,"Very Low","")))))</f>
        <v/>
      </c>
      <c r="S565" s="5" t="n"/>
      <c r="V565" s="5" t="n"/>
      <c r="W565" s="6" t="n"/>
      <c r="X565" s="6" t="n"/>
      <c r="Z565" s="5" t="n"/>
    </row>
    <row r="566">
      <c r="D566" s="5" t="n"/>
      <c r="E566" s="5" t="n"/>
      <c r="F566" s="5" t="n"/>
      <c r="I566">
        <f>VALUE(LEFT($G566,1))*VALUE(LEFT($H566,1))</f>
        <v/>
      </c>
      <c r="J566">
        <f>IF($I566&gt;=20,"Critical",IF($I566&gt;=15,"High",IF($I566&gt;=10,"Medium",IF($I566&gt;=5,"Low",IF($I566&gt;0,"Very Low","")))))</f>
        <v/>
      </c>
      <c r="K566" s="5" t="n"/>
      <c r="O566">
        <f>VALUE(LEFT($M566,1))*VALUE(LEFT($N566,1))</f>
        <v/>
      </c>
      <c r="P566">
        <f>IF($O566&gt;=20,"Critical",IF($O566&gt;=15,"High",IF($O566&gt;=10,"Medium",IF($O566&gt;=5,"Low",IF($O566&gt;0,"Very Low","")))))</f>
        <v/>
      </c>
      <c r="S566" s="5" t="n"/>
      <c r="V566" s="5" t="n"/>
      <c r="W566" s="6" t="n"/>
      <c r="X566" s="6" t="n"/>
      <c r="Z566" s="5" t="n"/>
    </row>
    <row r="567">
      <c r="D567" s="5" t="n"/>
      <c r="E567" s="5" t="n"/>
      <c r="F567" s="5" t="n"/>
      <c r="I567">
        <f>VALUE(LEFT($G567,1))*VALUE(LEFT($H567,1))</f>
        <v/>
      </c>
      <c r="J567">
        <f>IF($I567&gt;=20,"Critical",IF($I567&gt;=15,"High",IF($I567&gt;=10,"Medium",IF($I567&gt;=5,"Low",IF($I567&gt;0,"Very Low","")))))</f>
        <v/>
      </c>
      <c r="K567" s="5" t="n"/>
      <c r="O567">
        <f>VALUE(LEFT($M567,1))*VALUE(LEFT($N567,1))</f>
        <v/>
      </c>
      <c r="P567">
        <f>IF($O567&gt;=20,"Critical",IF($O567&gt;=15,"High",IF($O567&gt;=10,"Medium",IF($O567&gt;=5,"Low",IF($O567&gt;0,"Very Low","")))))</f>
        <v/>
      </c>
      <c r="S567" s="5" t="n"/>
      <c r="V567" s="5" t="n"/>
      <c r="W567" s="6" t="n"/>
      <c r="X567" s="6" t="n"/>
      <c r="Z567" s="5" t="n"/>
    </row>
    <row r="568">
      <c r="D568" s="5" t="n"/>
      <c r="E568" s="5" t="n"/>
      <c r="F568" s="5" t="n"/>
      <c r="I568">
        <f>VALUE(LEFT($G568,1))*VALUE(LEFT($H568,1))</f>
        <v/>
      </c>
      <c r="J568">
        <f>IF($I568&gt;=20,"Critical",IF($I568&gt;=15,"High",IF($I568&gt;=10,"Medium",IF($I568&gt;=5,"Low",IF($I568&gt;0,"Very Low","")))))</f>
        <v/>
      </c>
      <c r="K568" s="5" t="n"/>
      <c r="O568">
        <f>VALUE(LEFT($M568,1))*VALUE(LEFT($N568,1))</f>
        <v/>
      </c>
      <c r="P568">
        <f>IF($O568&gt;=20,"Critical",IF($O568&gt;=15,"High",IF($O568&gt;=10,"Medium",IF($O568&gt;=5,"Low",IF($O568&gt;0,"Very Low","")))))</f>
        <v/>
      </c>
      <c r="S568" s="5" t="n"/>
      <c r="V568" s="5" t="n"/>
      <c r="W568" s="6" t="n"/>
      <c r="X568" s="6" t="n"/>
      <c r="Z568" s="5" t="n"/>
    </row>
    <row r="569">
      <c r="D569" s="5" t="n"/>
      <c r="E569" s="5" t="n"/>
      <c r="F569" s="5" t="n"/>
      <c r="I569">
        <f>VALUE(LEFT($G569,1))*VALUE(LEFT($H569,1))</f>
        <v/>
      </c>
      <c r="J569">
        <f>IF($I569&gt;=20,"Critical",IF($I569&gt;=15,"High",IF($I569&gt;=10,"Medium",IF($I569&gt;=5,"Low",IF($I569&gt;0,"Very Low","")))))</f>
        <v/>
      </c>
      <c r="K569" s="5" t="n"/>
      <c r="O569">
        <f>VALUE(LEFT($M569,1))*VALUE(LEFT($N569,1))</f>
        <v/>
      </c>
      <c r="P569">
        <f>IF($O569&gt;=20,"Critical",IF($O569&gt;=15,"High",IF($O569&gt;=10,"Medium",IF($O569&gt;=5,"Low",IF($O569&gt;0,"Very Low","")))))</f>
        <v/>
      </c>
      <c r="S569" s="5" t="n"/>
      <c r="V569" s="5" t="n"/>
      <c r="W569" s="6" t="n"/>
      <c r="X569" s="6" t="n"/>
      <c r="Z569" s="5" t="n"/>
    </row>
    <row r="570">
      <c r="D570" s="5" t="n"/>
      <c r="E570" s="5" t="n"/>
      <c r="F570" s="5" t="n"/>
      <c r="I570">
        <f>VALUE(LEFT($G570,1))*VALUE(LEFT($H570,1))</f>
        <v/>
      </c>
      <c r="J570">
        <f>IF($I570&gt;=20,"Critical",IF($I570&gt;=15,"High",IF($I570&gt;=10,"Medium",IF($I570&gt;=5,"Low",IF($I570&gt;0,"Very Low","")))))</f>
        <v/>
      </c>
      <c r="K570" s="5" t="n"/>
      <c r="O570">
        <f>VALUE(LEFT($M570,1))*VALUE(LEFT($N570,1))</f>
        <v/>
      </c>
      <c r="P570">
        <f>IF($O570&gt;=20,"Critical",IF($O570&gt;=15,"High",IF($O570&gt;=10,"Medium",IF($O570&gt;=5,"Low",IF($O570&gt;0,"Very Low","")))))</f>
        <v/>
      </c>
      <c r="S570" s="5" t="n"/>
      <c r="V570" s="5" t="n"/>
      <c r="W570" s="6" t="n"/>
      <c r="X570" s="6" t="n"/>
      <c r="Z570" s="5" t="n"/>
    </row>
    <row r="571">
      <c r="D571" s="5" t="n"/>
      <c r="E571" s="5" t="n"/>
      <c r="F571" s="5" t="n"/>
      <c r="I571">
        <f>VALUE(LEFT($G571,1))*VALUE(LEFT($H571,1))</f>
        <v/>
      </c>
      <c r="J571">
        <f>IF($I571&gt;=20,"Critical",IF($I571&gt;=15,"High",IF($I571&gt;=10,"Medium",IF($I571&gt;=5,"Low",IF($I571&gt;0,"Very Low","")))))</f>
        <v/>
      </c>
      <c r="K571" s="5" t="n"/>
      <c r="O571">
        <f>VALUE(LEFT($M571,1))*VALUE(LEFT($N571,1))</f>
        <v/>
      </c>
      <c r="P571">
        <f>IF($O571&gt;=20,"Critical",IF($O571&gt;=15,"High",IF($O571&gt;=10,"Medium",IF($O571&gt;=5,"Low",IF($O571&gt;0,"Very Low","")))))</f>
        <v/>
      </c>
      <c r="S571" s="5" t="n"/>
      <c r="V571" s="5" t="n"/>
      <c r="W571" s="6" t="n"/>
      <c r="X571" s="6" t="n"/>
      <c r="Z571" s="5" t="n"/>
    </row>
    <row r="572">
      <c r="D572" s="5" t="n"/>
      <c r="E572" s="5" t="n"/>
      <c r="F572" s="5" t="n"/>
      <c r="I572">
        <f>VALUE(LEFT($G572,1))*VALUE(LEFT($H572,1))</f>
        <v/>
      </c>
      <c r="J572">
        <f>IF($I572&gt;=20,"Critical",IF($I572&gt;=15,"High",IF($I572&gt;=10,"Medium",IF($I572&gt;=5,"Low",IF($I572&gt;0,"Very Low","")))))</f>
        <v/>
      </c>
      <c r="K572" s="5" t="n"/>
      <c r="O572">
        <f>VALUE(LEFT($M572,1))*VALUE(LEFT($N572,1))</f>
        <v/>
      </c>
      <c r="P572">
        <f>IF($O572&gt;=20,"Critical",IF($O572&gt;=15,"High",IF($O572&gt;=10,"Medium",IF($O572&gt;=5,"Low",IF($O572&gt;0,"Very Low","")))))</f>
        <v/>
      </c>
      <c r="S572" s="5" t="n"/>
      <c r="V572" s="5" t="n"/>
      <c r="W572" s="6" t="n"/>
      <c r="X572" s="6" t="n"/>
      <c r="Z572" s="5" t="n"/>
    </row>
    <row r="573">
      <c r="D573" s="5" t="n"/>
      <c r="E573" s="5" t="n"/>
      <c r="F573" s="5" t="n"/>
      <c r="I573">
        <f>VALUE(LEFT($G573,1))*VALUE(LEFT($H573,1))</f>
        <v/>
      </c>
      <c r="J573">
        <f>IF($I573&gt;=20,"Critical",IF($I573&gt;=15,"High",IF($I573&gt;=10,"Medium",IF($I573&gt;=5,"Low",IF($I573&gt;0,"Very Low","")))))</f>
        <v/>
      </c>
      <c r="K573" s="5" t="n"/>
      <c r="O573">
        <f>VALUE(LEFT($M573,1))*VALUE(LEFT($N573,1))</f>
        <v/>
      </c>
      <c r="P573">
        <f>IF($O573&gt;=20,"Critical",IF($O573&gt;=15,"High",IF($O573&gt;=10,"Medium",IF($O573&gt;=5,"Low",IF($O573&gt;0,"Very Low","")))))</f>
        <v/>
      </c>
      <c r="S573" s="5" t="n"/>
      <c r="V573" s="5" t="n"/>
      <c r="W573" s="6" t="n"/>
      <c r="X573" s="6" t="n"/>
      <c r="Z573" s="5" t="n"/>
    </row>
    <row r="574">
      <c r="D574" s="5" t="n"/>
      <c r="E574" s="5" t="n"/>
      <c r="F574" s="5" t="n"/>
      <c r="I574">
        <f>VALUE(LEFT($G574,1))*VALUE(LEFT($H574,1))</f>
        <v/>
      </c>
      <c r="J574">
        <f>IF($I574&gt;=20,"Critical",IF($I574&gt;=15,"High",IF($I574&gt;=10,"Medium",IF($I574&gt;=5,"Low",IF($I574&gt;0,"Very Low","")))))</f>
        <v/>
      </c>
      <c r="K574" s="5" t="n"/>
      <c r="O574">
        <f>VALUE(LEFT($M574,1))*VALUE(LEFT($N574,1))</f>
        <v/>
      </c>
      <c r="P574">
        <f>IF($O574&gt;=20,"Critical",IF($O574&gt;=15,"High",IF($O574&gt;=10,"Medium",IF($O574&gt;=5,"Low",IF($O574&gt;0,"Very Low","")))))</f>
        <v/>
      </c>
      <c r="S574" s="5" t="n"/>
      <c r="V574" s="5" t="n"/>
      <c r="W574" s="6" t="n"/>
      <c r="X574" s="6" t="n"/>
      <c r="Z574" s="5" t="n"/>
    </row>
    <row r="575">
      <c r="D575" s="5" t="n"/>
      <c r="E575" s="5" t="n"/>
      <c r="F575" s="5" t="n"/>
      <c r="I575">
        <f>VALUE(LEFT($G575,1))*VALUE(LEFT($H575,1))</f>
        <v/>
      </c>
      <c r="J575">
        <f>IF($I575&gt;=20,"Critical",IF($I575&gt;=15,"High",IF($I575&gt;=10,"Medium",IF($I575&gt;=5,"Low",IF($I575&gt;0,"Very Low","")))))</f>
        <v/>
      </c>
      <c r="K575" s="5" t="n"/>
      <c r="O575">
        <f>VALUE(LEFT($M575,1))*VALUE(LEFT($N575,1))</f>
        <v/>
      </c>
      <c r="P575">
        <f>IF($O575&gt;=20,"Critical",IF($O575&gt;=15,"High",IF($O575&gt;=10,"Medium",IF($O575&gt;=5,"Low",IF($O575&gt;0,"Very Low","")))))</f>
        <v/>
      </c>
      <c r="S575" s="5" t="n"/>
      <c r="V575" s="5" t="n"/>
      <c r="W575" s="6" t="n"/>
      <c r="X575" s="6" t="n"/>
      <c r="Z575" s="5" t="n"/>
    </row>
    <row r="576">
      <c r="D576" s="5" t="n"/>
      <c r="E576" s="5" t="n"/>
      <c r="F576" s="5" t="n"/>
      <c r="I576">
        <f>VALUE(LEFT($G576,1))*VALUE(LEFT($H576,1))</f>
        <v/>
      </c>
      <c r="J576">
        <f>IF($I576&gt;=20,"Critical",IF($I576&gt;=15,"High",IF($I576&gt;=10,"Medium",IF($I576&gt;=5,"Low",IF($I576&gt;0,"Very Low","")))))</f>
        <v/>
      </c>
      <c r="K576" s="5" t="n"/>
      <c r="O576">
        <f>VALUE(LEFT($M576,1))*VALUE(LEFT($N576,1))</f>
        <v/>
      </c>
      <c r="P576">
        <f>IF($O576&gt;=20,"Critical",IF($O576&gt;=15,"High",IF($O576&gt;=10,"Medium",IF($O576&gt;=5,"Low",IF($O576&gt;0,"Very Low","")))))</f>
        <v/>
      </c>
      <c r="S576" s="5" t="n"/>
      <c r="V576" s="5" t="n"/>
      <c r="W576" s="6" t="n"/>
      <c r="X576" s="6" t="n"/>
      <c r="Z576" s="5" t="n"/>
    </row>
    <row r="577">
      <c r="D577" s="5" t="n"/>
      <c r="E577" s="5" t="n"/>
      <c r="F577" s="5" t="n"/>
      <c r="I577">
        <f>VALUE(LEFT($G577,1))*VALUE(LEFT($H577,1))</f>
        <v/>
      </c>
      <c r="J577">
        <f>IF($I577&gt;=20,"Critical",IF($I577&gt;=15,"High",IF($I577&gt;=10,"Medium",IF($I577&gt;=5,"Low",IF($I577&gt;0,"Very Low","")))))</f>
        <v/>
      </c>
      <c r="K577" s="5" t="n"/>
      <c r="O577">
        <f>VALUE(LEFT($M577,1))*VALUE(LEFT($N577,1))</f>
        <v/>
      </c>
      <c r="P577">
        <f>IF($O577&gt;=20,"Critical",IF($O577&gt;=15,"High",IF($O577&gt;=10,"Medium",IF($O577&gt;=5,"Low",IF($O577&gt;0,"Very Low","")))))</f>
        <v/>
      </c>
      <c r="S577" s="5" t="n"/>
      <c r="V577" s="5" t="n"/>
      <c r="W577" s="6" t="n"/>
      <c r="X577" s="6" t="n"/>
      <c r="Z577" s="5" t="n"/>
    </row>
    <row r="578">
      <c r="D578" s="5" t="n"/>
      <c r="E578" s="5" t="n"/>
      <c r="F578" s="5" t="n"/>
      <c r="I578">
        <f>VALUE(LEFT($G578,1))*VALUE(LEFT($H578,1))</f>
        <v/>
      </c>
      <c r="J578">
        <f>IF($I578&gt;=20,"Critical",IF($I578&gt;=15,"High",IF($I578&gt;=10,"Medium",IF($I578&gt;=5,"Low",IF($I578&gt;0,"Very Low","")))))</f>
        <v/>
      </c>
      <c r="K578" s="5" t="n"/>
      <c r="O578">
        <f>VALUE(LEFT($M578,1))*VALUE(LEFT($N578,1))</f>
        <v/>
      </c>
      <c r="P578">
        <f>IF($O578&gt;=20,"Critical",IF($O578&gt;=15,"High",IF($O578&gt;=10,"Medium",IF($O578&gt;=5,"Low",IF($O578&gt;0,"Very Low","")))))</f>
        <v/>
      </c>
      <c r="S578" s="5" t="n"/>
      <c r="V578" s="5" t="n"/>
      <c r="W578" s="6" t="n"/>
      <c r="X578" s="6" t="n"/>
      <c r="Z578" s="5" t="n"/>
    </row>
    <row r="579">
      <c r="D579" s="5" t="n"/>
      <c r="E579" s="5" t="n"/>
      <c r="F579" s="5" t="n"/>
      <c r="I579">
        <f>VALUE(LEFT($G579,1))*VALUE(LEFT($H579,1))</f>
        <v/>
      </c>
      <c r="J579">
        <f>IF($I579&gt;=20,"Critical",IF($I579&gt;=15,"High",IF($I579&gt;=10,"Medium",IF($I579&gt;=5,"Low",IF($I579&gt;0,"Very Low","")))))</f>
        <v/>
      </c>
      <c r="K579" s="5" t="n"/>
      <c r="O579">
        <f>VALUE(LEFT($M579,1))*VALUE(LEFT($N579,1))</f>
        <v/>
      </c>
      <c r="P579">
        <f>IF($O579&gt;=20,"Critical",IF($O579&gt;=15,"High",IF($O579&gt;=10,"Medium",IF($O579&gt;=5,"Low",IF($O579&gt;0,"Very Low","")))))</f>
        <v/>
      </c>
      <c r="S579" s="5" t="n"/>
      <c r="V579" s="5" t="n"/>
      <c r="W579" s="6" t="n"/>
      <c r="X579" s="6" t="n"/>
      <c r="Z579" s="5" t="n"/>
    </row>
    <row r="580">
      <c r="D580" s="5" t="n"/>
      <c r="E580" s="5" t="n"/>
      <c r="F580" s="5" t="n"/>
      <c r="I580">
        <f>VALUE(LEFT($G580,1))*VALUE(LEFT($H580,1))</f>
        <v/>
      </c>
      <c r="J580">
        <f>IF($I580&gt;=20,"Critical",IF($I580&gt;=15,"High",IF($I580&gt;=10,"Medium",IF($I580&gt;=5,"Low",IF($I580&gt;0,"Very Low","")))))</f>
        <v/>
      </c>
      <c r="K580" s="5" t="n"/>
      <c r="O580">
        <f>VALUE(LEFT($M580,1))*VALUE(LEFT($N580,1))</f>
        <v/>
      </c>
      <c r="P580">
        <f>IF($O580&gt;=20,"Critical",IF($O580&gt;=15,"High",IF($O580&gt;=10,"Medium",IF($O580&gt;=5,"Low",IF($O580&gt;0,"Very Low","")))))</f>
        <v/>
      </c>
      <c r="S580" s="5" t="n"/>
      <c r="V580" s="5" t="n"/>
      <c r="W580" s="6" t="n"/>
      <c r="X580" s="6" t="n"/>
      <c r="Z580" s="5" t="n"/>
    </row>
    <row r="581">
      <c r="D581" s="5" t="n"/>
      <c r="E581" s="5" t="n"/>
      <c r="F581" s="5" t="n"/>
      <c r="I581">
        <f>VALUE(LEFT($G581,1))*VALUE(LEFT($H581,1))</f>
        <v/>
      </c>
      <c r="J581">
        <f>IF($I581&gt;=20,"Critical",IF($I581&gt;=15,"High",IF($I581&gt;=10,"Medium",IF($I581&gt;=5,"Low",IF($I581&gt;0,"Very Low","")))))</f>
        <v/>
      </c>
      <c r="K581" s="5" t="n"/>
      <c r="O581">
        <f>VALUE(LEFT($M581,1))*VALUE(LEFT($N581,1))</f>
        <v/>
      </c>
      <c r="P581">
        <f>IF($O581&gt;=20,"Critical",IF($O581&gt;=15,"High",IF($O581&gt;=10,"Medium",IF($O581&gt;=5,"Low",IF($O581&gt;0,"Very Low","")))))</f>
        <v/>
      </c>
      <c r="S581" s="5" t="n"/>
      <c r="V581" s="5" t="n"/>
      <c r="W581" s="6" t="n"/>
      <c r="X581" s="6" t="n"/>
      <c r="Z581" s="5" t="n"/>
    </row>
    <row r="582">
      <c r="D582" s="5" t="n"/>
      <c r="E582" s="5" t="n"/>
      <c r="F582" s="5" t="n"/>
      <c r="I582">
        <f>VALUE(LEFT($G582,1))*VALUE(LEFT($H582,1))</f>
        <v/>
      </c>
      <c r="J582">
        <f>IF($I582&gt;=20,"Critical",IF($I582&gt;=15,"High",IF($I582&gt;=10,"Medium",IF($I582&gt;=5,"Low",IF($I582&gt;0,"Very Low","")))))</f>
        <v/>
      </c>
      <c r="K582" s="5" t="n"/>
      <c r="O582">
        <f>VALUE(LEFT($M582,1))*VALUE(LEFT($N582,1))</f>
        <v/>
      </c>
      <c r="P582">
        <f>IF($O582&gt;=20,"Critical",IF($O582&gt;=15,"High",IF($O582&gt;=10,"Medium",IF($O582&gt;=5,"Low",IF($O582&gt;0,"Very Low","")))))</f>
        <v/>
      </c>
      <c r="S582" s="5" t="n"/>
      <c r="V582" s="5" t="n"/>
      <c r="W582" s="6" t="n"/>
      <c r="X582" s="6" t="n"/>
      <c r="Z582" s="5" t="n"/>
    </row>
    <row r="583">
      <c r="D583" s="5" t="n"/>
      <c r="E583" s="5" t="n"/>
      <c r="F583" s="5" t="n"/>
      <c r="I583">
        <f>VALUE(LEFT($G583,1))*VALUE(LEFT($H583,1))</f>
        <v/>
      </c>
      <c r="J583">
        <f>IF($I583&gt;=20,"Critical",IF($I583&gt;=15,"High",IF($I583&gt;=10,"Medium",IF($I583&gt;=5,"Low",IF($I583&gt;0,"Very Low","")))))</f>
        <v/>
      </c>
      <c r="K583" s="5" t="n"/>
      <c r="O583">
        <f>VALUE(LEFT($M583,1))*VALUE(LEFT($N583,1))</f>
        <v/>
      </c>
      <c r="P583">
        <f>IF($O583&gt;=20,"Critical",IF($O583&gt;=15,"High",IF($O583&gt;=10,"Medium",IF($O583&gt;=5,"Low",IF($O583&gt;0,"Very Low","")))))</f>
        <v/>
      </c>
      <c r="S583" s="5" t="n"/>
      <c r="V583" s="5" t="n"/>
      <c r="W583" s="6" t="n"/>
      <c r="X583" s="6" t="n"/>
      <c r="Z583" s="5" t="n"/>
    </row>
    <row r="584">
      <c r="D584" s="5" t="n"/>
      <c r="E584" s="5" t="n"/>
      <c r="F584" s="5" t="n"/>
      <c r="I584">
        <f>VALUE(LEFT($G584,1))*VALUE(LEFT($H584,1))</f>
        <v/>
      </c>
      <c r="J584">
        <f>IF($I584&gt;=20,"Critical",IF($I584&gt;=15,"High",IF($I584&gt;=10,"Medium",IF($I584&gt;=5,"Low",IF($I584&gt;0,"Very Low","")))))</f>
        <v/>
      </c>
      <c r="K584" s="5" t="n"/>
      <c r="O584">
        <f>VALUE(LEFT($M584,1))*VALUE(LEFT($N584,1))</f>
        <v/>
      </c>
      <c r="P584">
        <f>IF($O584&gt;=20,"Critical",IF($O584&gt;=15,"High",IF($O584&gt;=10,"Medium",IF($O584&gt;=5,"Low",IF($O584&gt;0,"Very Low","")))))</f>
        <v/>
      </c>
      <c r="S584" s="5" t="n"/>
      <c r="V584" s="5" t="n"/>
      <c r="W584" s="6" t="n"/>
      <c r="X584" s="6" t="n"/>
      <c r="Z584" s="5" t="n"/>
    </row>
    <row r="585">
      <c r="D585" s="5" t="n"/>
      <c r="E585" s="5" t="n"/>
      <c r="F585" s="5" t="n"/>
      <c r="I585">
        <f>VALUE(LEFT($G585,1))*VALUE(LEFT($H585,1))</f>
        <v/>
      </c>
      <c r="J585">
        <f>IF($I585&gt;=20,"Critical",IF($I585&gt;=15,"High",IF($I585&gt;=10,"Medium",IF($I585&gt;=5,"Low",IF($I585&gt;0,"Very Low","")))))</f>
        <v/>
      </c>
      <c r="K585" s="5" t="n"/>
      <c r="O585">
        <f>VALUE(LEFT($M585,1))*VALUE(LEFT($N585,1))</f>
        <v/>
      </c>
      <c r="P585">
        <f>IF($O585&gt;=20,"Critical",IF($O585&gt;=15,"High",IF($O585&gt;=10,"Medium",IF($O585&gt;=5,"Low",IF($O585&gt;0,"Very Low","")))))</f>
        <v/>
      </c>
      <c r="S585" s="5" t="n"/>
      <c r="V585" s="5" t="n"/>
      <c r="W585" s="6" t="n"/>
      <c r="X585" s="6" t="n"/>
      <c r="Z585" s="5" t="n"/>
    </row>
    <row r="586">
      <c r="D586" s="5" t="n"/>
      <c r="E586" s="5" t="n"/>
      <c r="F586" s="5" t="n"/>
      <c r="I586">
        <f>VALUE(LEFT($G586,1))*VALUE(LEFT($H586,1))</f>
        <v/>
      </c>
      <c r="J586">
        <f>IF($I586&gt;=20,"Critical",IF($I586&gt;=15,"High",IF($I586&gt;=10,"Medium",IF($I586&gt;=5,"Low",IF($I586&gt;0,"Very Low","")))))</f>
        <v/>
      </c>
      <c r="K586" s="5" t="n"/>
      <c r="O586">
        <f>VALUE(LEFT($M586,1))*VALUE(LEFT($N586,1))</f>
        <v/>
      </c>
      <c r="P586">
        <f>IF($O586&gt;=20,"Critical",IF($O586&gt;=15,"High",IF($O586&gt;=10,"Medium",IF($O586&gt;=5,"Low",IF($O586&gt;0,"Very Low","")))))</f>
        <v/>
      </c>
      <c r="S586" s="5" t="n"/>
      <c r="V586" s="5" t="n"/>
      <c r="W586" s="6" t="n"/>
      <c r="X586" s="6" t="n"/>
      <c r="Z586" s="5" t="n"/>
    </row>
    <row r="587">
      <c r="D587" s="5" t="n"/>
      <c r="E587" s="5" t="n"/>
      <c r="F587" s="5" t="n"/>
      <c r="I587">
        <f>VALUE(LEFT($G587,1))*VALUE(LEFT($H587,1))</f>
        <v/>
      </c>
      <c r="J587">
        <f>IF($I587&gt;=20,"Critical",IF($I587&gt;=15,"High",IF($I587&gt;=10,"Medium",IF($I587&gt;=5,"Low",IF($I587&gt;0,"Very Low","")))))</f>
        <v/>
      </c>
      <c r="K587" s="5" t="n"/>
      <c r="O587">
        <f>VALUE(LEFT($M587,1))*VALUE(LEFT($N587,1))</f>
        <v/>
      </c>
      <c r="P587">
        <f>IF($O587&gt;=20,"Critical",IF($O587&gt;=15,"High",IF($O587&gt;=10,"Medium",IF($O587&gt;=5,"Low",IF($O587&gt;0,"Very Low","")))))</f>
        <v/>
      </c>
      <c r="S587" s="5" t="n"/>
      <c r="V587" s="5" t="n"/>
      <c r="W587" s="6" t="n"/>
      <c r="X587" s="6" t="n"/>
      <c r="Z587" s="5" t="n"/>
    </row>
    <row r="588">
      <c r="D588" s="5" t="n"/>
      <c r="E588" s="5" t="n"/>
      <c r="F588" s="5" t="n"/>
      <c r="I588">
        <f>VALUE(LEFT($G588,1))*VALUE(LEFT($H588,1))</f>
        <v/>
      </c>
      <c r="J588">
        <f>IF($I588&gt;=20,"Critical",IF($I588&gt;=15,"High",IF($I588&gt;=10,"Medium",IF($I588&gt;=5,"Low",IF($I588&gt;0,"Very Low","")))))</f>
        <v/>
      </c>
      <c r="K588" s="5" t="n"/>
      <c r="O588">
        <f>VALUE(LEFT($M588,1))*VALUE(LEFT($N588,1))</f>
        <v/>
      </c>
      <c r="P588">
        <f>IF($O588&gt;=20,"Critical",IF($O588&gt;=15,"High",IF($O588&gt;=10,"Medium",IF($O588&gt;=5,"Low",IF($O588&gt;0,"Very Low","")))))</f>
        <v/>
      </c>
      <c r="S588" s="5" t="n"/>
      <c r="V588" s="5" t="n"/>
      <c r="W588" s="6" t="n"/>
      <c r="X588" s="6" t="n"/>
      <c r="Z588" s="5" t="n"/>
    </row>
    <row r="589">
      <c r="D589" s="5" t="n"/>
      <c r="E589" s="5" t="n"/>
      <c r="F589" s="5" t="n"/>
      <c r="I589">
        <f>VALUE(LEFT($G589,1))*VALUE(LEFT($H589,1))</f>
        <v/>
      </c>
      <c r="J589">
        <f>IF($I589&gt;=20,"Critical",IF($I589&gt;=15,"High",IF($I589&gt;=10,"Medium",IF($I589&gt;=5,"Low",IF($I589&gt;0,"Very Low","")))))</f>
        <v/>
      </c>
      <c r="K589" s="5" t="n"/>
      <c r="O589">
        <f>VALUE(LEFT($M589,1))*VALUE(LEFT($N589,1))</f>
        <v/>
      </c>
      <c r="P589">
        <f>IF($O589&gt;=20,"Critical",IF($O589&gt;=15,"High",IF($O589&gt;=10,"Medium",IF($O589&gt;=5,"Low",IF($O589&gt;0,"Very Low","")))))</f>
        <v/>
      </c>
      <c r="S589" s="5" t="n"/>
      <c r="V589" s="5" t="n"/>
      <c r="W589" s="6" t="n"/>
      <c r="X589" s="6" t="n"/>
      <c r="Z589" s="5" t="n"/>
    </row>
    <row r="590">
      <c r="D590" s="5" t="n"/>
      <c r="E590" s="5" t="n"/>
      <c r="F590" s="5" t="n"/>
      <c r="I590">
        <f>VALUE(LEFT($G590,1))*VALUE(LEFT($H590,1))</f>
        <v/>
      </c>
      <c r="J590">
        <f>IF($I590&gt;=20,"Critical",IF($I590&gt;=15,"High",IF($I590&gt;=10,"Medium",IF($I590&gt;=5,"Low",IF($I590&gt;0,"Very Low","")))))</f>
        <v/>
      </c>
      <c r="K590" s="5" t="n"/>
      <c r="O590">
        <f>VALUE(LEFT($M590,1))*VALUE(LEFT($N590,1))</f>
        <v/>
      </c>
      <c r="P590">
        <f>IF($O590&gt;=20,"Critical",IF($O590&gt;=15,"High",IF($O590&gt;=10,"Medium",IF($O590&gt;=5,"Low",IF($O590&gt;0,"Very Low","")))))</f>
        <v/>
      </c>
      <c r="S590" s="5" t="n"/>
      <c r="V590" s="5" t="n"/>
      <c r="W590" s="6" t="n"/>
      <c r="X590" s="6" t="n"/>
      <c r="Z590" s="5" t="n"/>
    </row>
    <row r="591">
      <c r="D591" s="5" t="n"/>
      <c r="E591" s="5" t="n"/>
      <c r="F591" s="5" t="n"/>
      <c r="I591">
        <f>VALUE(LEFT($G591,1))*VALUE(LEFT($H591,1))</f>
        <v/>
      </c>
      <c r="J591">
        <f>IF($I591&gt;=20,"Critical",IF($I591&gt;=15,"High",IF($I591&gt;=10,"Medium",IF($I591&gt;=5,"Low",IF($I591&gt;0,"Very Low","")))))</f>
        <v/>
      </c>
      <c r="K591" s="5" t="n"/>
      <c r="O591">
        <f>VALUE(LEFT($M591,1))*VALUE(LEFT($N591,1))</f>
        <v/>
      </c>
      <c r="P591">
        <f>IF($O591&gt;=20,"Critical",IF($O591&gt;=15,"High",IF($O591&gt;=10,"Medium",IF($O591&gt;=5,"Low",IF($O591&gt;0,"Very Low","")))))</f>
        <v/>
      </c>
      <c r="S591" s="5" t="n"/>
      <c r="V591" s="5" t="n"/>
      <c r="W591" s="6" t="n"/>
      <c r="X591" s="6" t="n"/>
      <c r="Z591" s="5" t="n"/>
    </row>
    <row r="592">
      <c r="D592" s="5" t="n"/>
      <c r="E592" s="5" t="n"/>
      <c r="F592" s="5" t="n"/>
      <c r="I592">
        <f>VALUE(LEFT($G592,1))*VALUE(LEFT($H592,1))</f>
        <v/>
      </c>
      <c r="J592">
        <f>IF($I592&gt;=20,"Critical",IF($I592&gt;=15,"High",IF($I592&gt;=10,"Medium",IF($I592&gt;=5,"Low",IF($I592&gt;0,"Very Low","")))))</f>
        <v/>
      </c>
      <c r="K592" s="5" t="n"/>
      <c r="O592">
        <f>VALUE(LEFT($M592,1))*VALUE(LEFT($N592,1))</f>
        <v/>
      </c>
      <c r="P592">
        <f>IF($O592&gt;=20,"Critical",IF($O592&gt;=15,"High",IF($O592&gt;=10,"Medium",IF($O592&gt;=5,"Low",IF($O592&gt;0,"Very Low","")))))</f>
        <v/>
      </c>
      <c r="S592" s="5" t="n"/>
      <c r="V592" s="5" t="n"/>
      <c r="W592" s="6" t="n"/>
      <c r="X592" s="6" t="n"/>
      <c r="Z592" s="5" t="n"/>
    </row>
    <row r="593">
      <c r="D593" s="5" t="n"/>
      <c r="E593" s="5" t="n"/>
      <c r="F593" s="5" t="n"/>
      <c r="I593">
        <f>VALUE(LEFT($G593,1))*VALUE(LEFT($H593,1))</f>
        <v/>
      </c>
      <c r="J593">
        <f>IF($I593&gt;=20,"Critical",IF($I593&gt;=15,"High",IF($I593&gt;=10,"Medium",IF($I593&gt;=5,"Low",IF($I593&gt;0,"Very Low","")))))</f>
        <v/>
      </c>
      <c r="K593" s="5" t="n"/>
      <c r="O593">
        <f>VALUE(LEFT($M593,1))*VALUE(LEFT($N593,1))</f>
        <v/>
      </c>
      <c r="P593">
        <f>IF($O593&gt;=20,"Critical",IF($O593&gt;=15,"High",IF($O593&gt;=10,"Medium",IF($O593&gt;=5,"Low",IF($O593&gt;0,"Very Low","")))))</f>
        <v/>
      </c>
      <c r="S593" s="5" t="n"/>
      <c r="V593" s="5" t="n"/>
      <c r="W593" s="6" t="n"/>
      <c r="X593" s="6" t="n"/>
      <c r="Z593" s="5" t="n"/>
    </row>
    <row r="594">
      <c r="D594" s="5" t="n"/>
      <c r="E594" s="5" t="n"/>
      <c r="F594" s="5" t="n"/>
      <c r="I594">
        <f>VALUE(LEFT($G594,1))*VALUE(LEFT($H594,1))</f>
        <v/>
      </c>
      <c r="J594">
        <f>IF($I594&gt;=20,"Critical",IF($I594&gt;=15,"High",IF($I594&gt;=10,"Medium",IF($I594&gt;=5,"Low",IF($I594&gt;0,"Very Low","")))))</f>
        <v/>
      </c>
      <c r="K594" s="5" t="n"/>
      <c r="O594">
        <f>VALUE(LEFT($M594,1))*VALUE(LEFT($N594,1))</f>
        <v/>
      </c>
      <c r="P594">
        <f>IF($O594&gt;=20,"Critical",IF($O594&gt;=15,"High",IF($O594&gt;=10,"Medium",IF($O594&gt;=5,"Low",IF($O594&gt;0,"Very Low","")))))</f>
        <v/>
      </c>
      <c r="S594" s="5" t="n"/>
      <c r="V594" s="5" t="n"/>
      <c r="W594" s="6" t="n"/>
      <c r="X594" s="6" t="n"/>
      <c r="Z594" s="5" t="n"/>
    </row>
    <row r="595">
      <c r="D595" s="5" t="n"/>
      <c r="E595" s="5" t="n"/>
      <c r="F595" s="5" t="n"/>
      <c r="I595">
        <f>VALUE(LEFT($G595,1))*VALUE(LEFT($H595,1))</f>
        <v/>
      </c>
      <c r="J595">
        <f>IF($I595&gt;=20,"Critical",IF($I595&gt;=15,"High",IF($I595&gt;=10,"Medium",IF($I595&gt;=5,"Low",IF($I595&gt;0,"Very Low","")))))</f>
        <v/>
      </c>
      <c r="K595" s="5" t="n"/>
      <c r="O595">
        <f>VALUE(LEFT($M595,1))*VALUE(LEFT($N595,1))</f>
        <v/>
      </c>
      <c r="P595">
        <f>IF($O595&gt;=20,"Critical",IF($O595&gt;=15,"High",IF($O595&gt;=10,"Medium",IF($O595&gt;=5,"Low",IF($O595&gt;0,"Very Low","")))))</f>
        <v/>
      </c>
      <c r="S595" s="5" t="n"/>
      <c r="V595" s="5" t="n"/>
      <c r="W595" s="6" t="n"/>
      <c r="X595" s="6" t="n"/>
      <c r="Z595" s="5" t="n"/>
    </row>
    <row r="596">
      <c r="D596" s="5" t="n"/>
      <c r="E596" s="5" t="n"/>
      <c r="F596" s="5" t="n"/>
      <c r="I596">
        <f>VALUE(LEFT($G596,1))*VALUE(LEFT($H596,1))</f>
        <v/>
      </c>
      <c r="J596">
        <f>IF($I596&gt;=20,"Critical",IF($I596&gt;=15,"High",IF($I596&gt;=10,"Medium",IF($I596&gt;=5,"Low",IF($I596&gt;0,"Very Low","")))))</f>
        <v/>
      </c>
      <c r="K596" s="5" t="n"/>
      <c r="O596">
        <f>VALUE(LEFT($M596,1))*VALUE(LEFT($N596,1))</f>
        <v/>
      </c>
      <c r="P596">
        <f>IF($O596&gt;=20,"Critical",IF($O596&gt;=15,"High",IF($O596&gt;=10,"Medium",IF($O596&gt;=5,"Low",IF($O596&gt;0,"Very Low","")))))</f>
        <v/>
      </c>
      <c r="S596" s="5" t="n"/>
      <c r="V596" s="5" t="n"/>
      <c r="W596" s="6" t="n"/>
      <c r="X596" s="6" t="n"/>
      <c r="Z596" s="5" t="n"/>
    </row>
    <row r="597">
      <c r="D597" s="5" t="n"/>
      <c r="E597" s="5" t="n"/>
      <c r="F597" s="5" t="n"/>
      <c r="I597">
        <f>VALUE(LEFT($G597,1))*VALUE(LEFT($H597,1))</f>
        <v/>
      </c>
      <c r="J597">
        <f>IF($I597&gt;=20,"Critical",IF($I597&gt;=15,"High",IF($I597&gt;=10,"Medium",IF($I597&gt;=5,"Low",IF($I597&gt;0,"Very Low","")))))</f>
        <v/>
      </c>
      <c r="K597" s="5" t="n"/>
      <c r="O597">
        <f>VALUE(LEFT($M597,1))*VALUE(LEFT($N597,1))</f>
        <v/>
      </c>
      <c r="P597">
        <f>IF($O597&gt;=20,"Critical",IF($O597&gt;=15,"High",IF($O597&gt;=10,"Medium",IF($O597&gt;=5,"Low",IF($O597&gt;0,"Very Low","")))))</f>
        <v/>
      </c>
      <c r="S597" s="5" t="n"/>
      <c r="V597" s="5" t="n"/>
      <c r="W597" s="6" t="n"/>
      <c r="X597" s="6" t="n"/>
      <c r="Z597" s="5" t="n"/>
    </row>
    <row r="598">
      <c r="D598" s="5" t="n"/>
      <c r="E598" s="5" t="n"/>
      <c r="F598" s="5" t="n"/>
      <c r="I598">
        <f>VALUE(LEFT($G598,1))*VALUE(LEFT($H598,1))</f>
        <v/>
      </c>
      <c r="J598">
        <f>IF($I598&gt;=20,"Critical",IF($I598&gt;=15,"High",IF($I598&gt;=10,"Medium",IF($I598&gt;=5,"Low",IF($I598&gt;0,"Very Low","")))))</f>
        <v/>
      </c>
      <c r="K598" s="5" t="n"/>
      <c r="O598">
        <f>VALUE(LEFT($M598,1))*VALUE(LEFT($N598,1))</f>
        <v/>
      </c>
      <c r="P598">
        <f>IF($O598&gt;=20,"Critical",IF($O598&gt;=15,"High",IF($O598&gt;=10,"Medium",IF($O598&gt;=5,"Low",IF($O598&gt;0,"Very Low","")))))</f>
        <v/>
      </c>
      <c r="S598" s="5" t="n"/>
      <c r="V598" s="5" t="n"/>
      <c r="W598" s="6" t="n"/>
      <c r="X598" s="6" t="n"/>
      <c r="Z598" s="5" t="n"/>
    </row>
    <row r="599">
      <c r="D599" s="5" t="n"/>
      <c r="E599" s="5" t="n"/>
      <c r="F599" s="5" t="n"/>
      <c r="I599">
        <f>VALUE(LEFT($G599,1))*VALUE(LEFT($H599,1))</f>
        <v/>
      </c>
      <c r="J599">
        <f>IF($I599&gt;=20,"Critical",IF($I599&gt;=15,"High",IF($I599&gt;=10,"Medium",IF($I599&gt;=5,"Low",IF($I599&gt;0,"Very Low","")))))</f>
        <v/>
      </c>
      <c r="K599" s="5" t="n"/>
      <c r="O599">
        <f>VALUE(LEFT($M599,1))*VALUE(LEFT($N599,1))</f>
        <v/>
      </c>
      <c r="P599">
        <f>IF($O599&gt;=20,"Critical",IF($O599&gt;=15,"High",IF($O599&gt;=10,"Medium",IF($O599&gt;=5,"Low",IF($O599&gt;0,"Very Low","")))))</f>
        <v/>
      </c>
      <c r="S599" s="5" t="n"/>
      <c r="V599" s="5" t="n"/>
      <c r="W599" s="6" t="n"/>
      <c r="X599" s="6" t="n"/>
      <c r="Z599" s="5" t="n"/>
    </row>
    <row r="600">
      <c r="D600" s="5" t="n"/>
      <c r="E600" s="5" t="n"/>
      <c r="F600" s="5" t="n"/>
      <c r="I600">
        <f>VALUE(LEFT($G600,1))*VALUE(LEFT($H600,1))</f>
        <v/>
      </c>
      <c r="J600">
        <f>IF($I600&gt;=20,"Critical",IF($I600&gt;=15,"High",IF($I600&gt;=10,"Medium",IF($I600&gt;=5,"Low",IF($I600&gt;0,"Very Low","")))))</f>
        <v/>
      </c>
      <c r="K600" s="5" t="n"/>
      <c r="O600">
        <f>VALUE(LEFT($M600,1))*VALUE(LEFT($N600,1))</f>
        <v/>
      </c>
      <c r="P600">
        <f>IF($O600&gt;=20,"Critical",IF($O600&gt;=15,"High",IF($O600&gt;=10,"Medium",IF($O600&gt;=5,"Low",IF($O600&gt;0,"Very Low","")))))</f>
        <v/>
      </c>
      <c r="S600" s="5" t="n"/>
      <c r="V600" s="5" t="n"/>
      <c r="W600" s="6" t="n"/>
      <c r="X600" s="6" t="n"/>
      <c r="Z600" s="5" t="n"/>
    </row>
    <row r="601">
      <c r="D601" s="5" t="n"/>
      <c r="E601" s="5" t="n"/>
      <c r="F601" s="5" t="n"/>
      <c r="I601">
        <f>VALUE(LEFT($G601,1))*VALUE(LEFT($H601,1))</f>
        <v/>
      </c>
      <c r="J601">
        <f>IF($I601&gt;=20,"Critical",IF($I601&gt;=15,"High",IF($I601&gt;=10,"Medium",IF($I601&gt;=5,"Low",IF($I601&gt;0,"Very Low","")))))</f>
        <v/>
      </c>
      <c r="K601" s="5" t="n"/>
      <c r="O601">
        <f>VALUE(LEFT($M601,1))*VALUE(LEFT($N601,1))</f>
        <v/>
      </c>
      <c r="P601">
        <f>IF($O601&gt;=20,"Critical",IF($O601&gt;=15,"High",IF($O601&gt;=10,"Medium",IF($O601&gt;=5,"Low",IF($O601&gt;0,"Very Low","")))))</f>
        <v/>
      </c>
      <c r="S601" s="5" t="n"/>
      <c r="V601" s="5" t="n"/>
      <c r="W601" s="6" t="n"/>
      <c r="X601" s="6" t="n"/>
      <c r="Z601" s="5" t="n"/>
    </row>
    <row r="602">
      <c r="D602" s="5" t="n"/>
      <c r="E602" s="5" t="n"/>
      <c r="F602" s="5" t="n"/>
      <c r="I602">
        <f>VALUE(LEFT($G602,1))*VALUE(LEFT($H602,1))</f>
        <v/>
      </c>
      <c r="J602">
        <f>IF($I602&gt;=20,"Critical",IF($I602&gt;=15,"High",IF($I602&gt;=10,"Medium",IF($I602&gt;=5,"Low",IF($I602&gt;0,"Very Low","")))))</f>
        <v/>
      </c>
      <c r="K602" s="5" t="n"/>
      <c r="O602">
        <f>VALUE(LEFT($M602,1))*VALUE(LEFT($N602,1))</f>
        <v/>
      </c>
      <c r="P602">
        <f>IF($O602&gt;=20,"Critical",IF($O602&gt;=15,"High",IF($O602&gt;=10,"Medium",IF($O602&gt;=5,"Low",IF($O602&gt;0,"Very Low","")))))</f>
        <v/>
      </c>
      <c r="S602" s="5" t="n"/>
      <c r="V602" s="5" t="n"/>
      <c r="W602" s="6" t="n"/>
      <c r="X602" s="6" t="n"/>
      <c r="Z602" s="5" t="n"/>
    </row>
    <row r="603">
      <c r="D603" s="5" t="n"/>
      <c r="E603" s="5" t="n"/>
      <c r="F603" s="5" t="n"/>
      <c r="I603">
        <f>VALUE(LEFT($G603,1))*VALUE(LEFT($H603,1))</f>
        <v/>
      </c>
      <c r="J603">
        <f>IF($I603&gt;=20,"Critical",IF($I603&gt;=15,"High",IF($I603&gt;=10,"Medium",IF($I603&gt;=5,"Low",IF($I603&gt;0,"Very Low","")))))</f>
        <v/>
      </c>
      <c r="K603" s="5" t="n"/>
      <c r="O603">
        <f>VALUE(LEFT($M603,1))*VALUE(LEFT($N603,1))</f>
        <v/>
      </c>
      <c r="P603">
        <f>IF($O603&gt;=20,"Critical",IF($O603&gt;=15,"High",IF($O603&gt;=10,"Medium",IF($O603&gt;=5,"Low",IF($O603&gt;0,"Very Low","")))))</f>
        <v/>
      </c>
      <c r="S603" s="5" t="n"/>
      <c r="V603" s="5" t="n"/>
      <c r="W603" s="6" t="n"/>
      <c r="X603" s="6" t="n"/>
      <c r="Z603" s="5" t="n"/>
    </row>
    <row r="604">
      <c r="D604" s="5" t="n"/>
      <c r="E604" s="5" t="n"/>
      <c r="F604" s="5" t="n"/>
      <c r="I604">
        <f>VALUE(LEFT($G604,1))*VALUE(LEFT($H604,1))</f>
        <v/>
      </c>
      <c r="J604">
        <f>IF($I604&gt;=20,"Critical",IF($I604&gt;=15,"High",IF($I604&gt;=10,"Medium",IF($I604&gt;=5,"Low",IF($I604&gt;0,"Very Low","")))))</f>
        <v/>
      </c>
      <c r="K604" s="5" t="n"/>
      <c r="O604">
        <f>VALUE(LEFT($M604,1))*VALUE(LEFT($N604,1))</f>
        <v/>
      </c>
      <c r="P604">
        <f>IF($O604&gt;=20,"Critical",IF($O604&gt;=15,"High",IF($O604&gt;=10,"Medium",IF($O604&gt;=5,"Low",IF($O604&gt;0,"Very Low","")))))</f>
        <v/>
      </c>
      <c r="S604" s="5" t="n"/>
      <c r="V604" s="5" t="n"/>
      <c r="W604" s="6" t="n"/>
      <c r="X604" s="6" t="n"/>
      <c r="Z604" s="5" t="n"/>
    </row>
    <row r="605">
      <c r="D605" s="5" t="n"/>
      <c r="E605" s="5" t="n"/>
      <c r="F605" s="5" t="n"/>
      <c r="I605">
        <f>VALUE(LEFT($G605,1))*VALUE(LEFT($H605,1))</f>
        <v/>
      </c>
      <c r="J605">
        <f>IF($I605&gt;=20,"Critical",IF($I605&gt;=15,"High",IF($I605&gt;=10,"Medium",IF($I605&gt;=5,"Low",IF($I605&gt;0,"Very Low","")))))</f>
        <v/>
      </c>
      <c r="K605" s="5" t="n"/>
      <c r="O605">
        <f>VALUE(LEFT($M605,1))*VALUE(LEFT($N605,1))</f>
        <v/>
      </c>
      <c r="P605">
        <f>IF($O605&gt;=20,"Critical",IF($O605&gt;=15,"High",IF($O605&gt;=10,"Medium",IF($O605&gt;=5,"Low",IF($O605&gt;0,"Very Low","")))))</f>
        <v/>
      </c>
      <c r="S605" s="5" t="n"/>
      <c r="V605" s="5" t="n"/>
      <c r="W605" s="6" t="n"/>
      <c r="X605" s="6" t="n"/>
      <c r="Z605" s="5" t="n"/>
    </row>
    <row r="606">
      <c r="D606" s="5" t="n"/>
      <c r="E606" s="5" t="n"/>
      <c r="F606" s="5" t="n"/>
      <c r="I606">
        <f>VALUE(LEFT($G606,1))*VALUE(LEFT($H606,1))</f>
        <v/>
      </c>
      <c r="J606">
        <f>IF($I606&gt;=20,"Critical",IF($I606&gt;=15,"High",IF($I606&gt;=10,"Medium",IF($I606&gt;=5,"Low",IF($I606&gt;0,"Very Low","")))))</f>
        <v/>
      </c>
      <c r="K606" s="5" t="n"/>
      <c r="O606">
        <f>VALUE(LEFT($M606,1))*VALUE(LEFT($N606,1))</f>
        <v/>
      </c>
      <c r="P606">
        <f>IF($O606&gt;=20,"Critical",IF($O606&gt;=15,"High",IF($O606&gt;=10,"Medium",IF($O606&gt;=5,"Low",IF($O606&gt;0,"Very Low","")))))</f>
        <v/>
      </c>
      <c r="S606" s="5" t="n"/>
      <c r="V606" s="5" t="n"/>
      <c r="W606" s="6" t="n"/>
      <c r="X606" s="6" t="n"/>
      <c r="Z606" s="5" t="n"/>
    </row>
    <row r="607">
      <c r="D607" s="5" t="n"/>
      <c r="E607" s="5" t="n"/>
      <c r="F607" s="5" t="n"/>
      <c r="I607">
        <f>VALUE(LEFT($G607,1))*VALUE(LEFT($H607,1))</f>
        <v/>
      </c>
      <c r="J607">
        <f>IF($I607&gt;=20,"Critical",IF($I607&gt;=15,"High",IF($I607&gt;=10,"Medium",IF($I607&gt;=5,"Low",IF($I607&gt;0,"Very Low","")))))</f>
        <v/>
      </c>
      <c r="K607" s="5" t="n"/>
      <c r="O607">
        <f>VALUE(LEFT($M607,1))*VALUE(LEFT($N607,1))</f>
        <v/>
      </c>
      <c r="P607">
        <f>IF($O607&gt;=20,"Critical",IF($O607&gt;=15,"High",IF($O607&gt;=10,"Medium",IF($O607&gt;=5,"Low",IF($O607&gt;0,"Very Low","")))))</f>
        <v/>
      </c>
      <c r="S607" s="5" t="n"/>
      <c r="V607" s="5" t="n"/>
      <c r="W607" s="6" t="n"/>
      <c r="X607" s="6" t="n"/>
      <c r="Z607" s="5" t="n"/>
    </row>
    <row r="608">
      <c r="D608" s="5" t="n"/>
      <c r="E608" s="5" t="n"/>
      <c r="F608" s="5" t="n"/>
      <c r="I608">
        <f>VALUE(LEFT($G608,1))*VALUE(LEFT($H608,1))</f>
        <v/>
      </c>
      <c r="J608">
        <f>IF($I608&gt;=20,"Critical",IF($I608&gt;=15,"High",IF($I608&gt;=10,"Medium",IF($I608&gt;=5,"Low",IF($I608&gt;0,"Very Low","")))))</f>
        <v/>
      </c>
      <c r="K608" s="5" t="n"/>
      <c r="O608">
        <f>VALUE(LEFT($M608,1))*VALUE(LEFT($N608,1))</f>
        <v/>
      </c>
      <c r="P608">
        <f>IF($O608&gt;=20,"Critical",IF($O608&gt;=15,"High",IF($O608&gt;=10,"Medium",IF($O608&gt;=5,"Low",IF($O608&gt;0,"Very Low","")))))</f>
        <v/>
      </c>
      <c r="S608" s="5" t="n"/>
      <c r="V608" s="5" t="n"/>
      <c r="W608" s="6" t="n"/>
      <c r="X608" s="6" t="n"/>
      <c r="Z608" s="5" t="n"/>
    </row>
    <row r="609">
      <c r="D609" s="5" t="n"/>
      <c r="E609" s="5" t="n"/>
      <c r="F609" s="5" t="n"/>
      <c r="I609">
        <f>VALUE(LEFT($G609,1))*VALUE(LEFT($H609,1))</f>
        <v/>
      </c>
      <c r="J609">
        <f>IF($I609&gt;=20,"Critical",IF($I609&gt;=15,"High",IF($I609&gt;=10,"Medium",IF($I609&gt;=5,"Low",IF($I609&gt;0,"Very Low","")))))</f>
        <v/>
      </c>
      <c r="K609" s="5" t="n"/>
      <c r="O609">
        <f>VALUE(LEFT($M609,1))*VALUE(LEFT($N609,1))</f>
        <v/>
      </c>
      <c r="P609">
        <f>IF($O609&gt;=20,"Critical",IF($O609&gt;=15,"High",IF($O609&gt;=10,"Medium",IF($O609&gt;=5,"Low",IF($O609&gt;0,"Very Low","")))))</f>
        <v/>
      </c>
      <c r="S609" s="5" t="n"/>
      <c r="V609" s="5" t="n"/>
      <c r="W609" s="6" t="n"/>
      <c r="X609" s="6" t="n"/>
      <c r="Z609" s="5" t="n"/>
    </row>
    <row r="610">
      <c r="D610" s="5" t="n"/>
      <c r="E610" s="5" t="n"/>
      <c r="F610" s="5" t="n"/>
      <c r="I610">
        <f>VALUE(LEFT($G610,1))*VALUE(LEFT($H610,1))</f>
        <v/>
      </c>
      <c r="J610">
        <f>IF($I610&gt;=20,"Critical",IF($I610&gt;=15,"High",IF($I610&gt;=10,"Medium",IF($I610&gt;=5,"Low",IF($I610&gt;0,"Very Low","")))))</f>
        <v/>
      </c>
      <c r="K610" s="5" t="n"/>
      <c r="O610">
        <f>VALUE(LEFT($M610,1))*VALUE(LEFT($N610,1))</f>
        <v/>
      </c>
      <c r="P610">
        <f>IF($O610&gt;=20,"Critical",IF($O610&gt;=15,"High",IF($O610&gt;=10,"Medium",IF($O610&gt;=5,"Low",IF($O610&gt;0,"Very Low","")))))</f>
        <v/>
      </c>
      <c r="S610" s="5" t="n"/>
      <c r="V610" s="5" t="n"/>
      <c r="W610" s="6" t="n"/>
      <c r="X610" s="6" t="n"/>
      <c r="Z610" s="5" t="n"/>
    </row>
    <row r="611">
      <c r="D611" s="5" t="n"/>
      <c r="E611" s="5" t="n"/>
      <c r="F611" s="5" t="n"/>
      <c r="I611">
        <f>VALUE(LEFT($G611,1))*VALUE(LEFT($H611,1))</f>
        <v/>
      </c>
      <c r="J611">
        <f>IF($I611&gt;=20,"Critical",IF($I611&gt;=15,"High",IF($I611&gt;=10,"Medium",IF($I611&gt;=5,"Low",IF($I611&gt;0,"Very Low","")))))</f>
        <v/>
      </c>
      <c r="K611" s="5" t="n"/>
      <c r="O611">
        <f>VALUE(LEFT($M611,1))*VALUE(LEFT($N611,1))</f>
        <v/>
      </c>
      <c r="P611">
        <f>IF($O611&gt;=20,"Critical",IF($O611&gt;=15,"High",IF($O611&gt;=10,"Medium",IF($O611&gt;=5,"Low",IF($O611&gt;0,"Very Low","")))))</f>
        <v/>
      </c>
      <c r="S611" s="5" t="n"/>
      <c r="V611" s="5" t="n"/>
      <c r="W611" s="6" t="n"/>
      <c r="X611" s="6" t="n"/>
      <c r="Z611" s="5" t="n"/>
    </row>
    <row r="612">
      <c r="D612" s="5" t="n"/>
      <c r="E612" s="5" t="n"/>
      <c r="F612" s="5" t="n"/>
      <c r="I612">
        <f>VALUE(LEFT($G612,1))*VALUE(LEFT($H612,1))</f>
        <v/>
      </c>
      <c r="J612">
        <f>IF($I612&gt;=20,"Critical",IF($I612&gt;=15,"High",IF($I612&gt;=10,"Medium",IF($I612&gt;=5,"Low",IF($I612&gt;0,"Very Low","")))))</f>
        <v/>
      </c>
      <c r="K612" s="5" t="n"/>
      <c r="O612">
        <f>VALUE(LEFT($M612,1))*VALUE(LEFT($N612,1))</f>
        <v/>
      </c>
      <c r="P612">
        <f>IF($O612&gt;=20,"Critical",IF($O612&gt;=15,"High",IF($O612&gt;=10,"Medium",IF($O612&gt;=5,"Low",IF($O612&gt;0,"Very Low","")))))</f>
        <v/>
      </c>
      <c r="S612" s="5" t="n"/>
      <c r="V612" s="5" t="n"/>
      <c r="W612" s="6" t="n"/>
      <c r="X612" s="6" t="n"/>
      <c r="Z612" s="5" t="n"/>
    </row>
    <row r="613">
      <c r="D613" s="5" t="n"/>
      <c r="E613" s="5" t="n"/>
      <c r="F613" s="5" t="n"/>
      <c r="I613">
        <f>VALUE(LEFT($G613,1))*VALUE(LEFT($H613,1))</f>
        <v/>
      </c>
      <c r="J613">
        <f>IF($I613&gt;=20,"Critical",IF($I613&gt;=15,"High",IF($I613&gt;=10,"Medium",IF($I613&gt;=5,"Low",IF($I613&gt;0,"Very Low","")))))</f>
        <v/>
      </c>
      <c r="K613" s="5" t="n"/>
      <c r="O613">
        <f>VALUE(LEFT($M613,1))*VALUE(LEFT($N613,1))</f>
        <v/>
      </c>
      <c r="P613">
        <f>IF($O613&gt;=20,"Critical",IF($O613&gt;=15,"High",IF($O613&gt;=10,"Medium",IF($O613&gt;=5,"Low",IF($O613&gt;0,"Very Low","")))))</f>
        <v/>
      </c>
      <c r="S613" s="5" t="n"/>
      <c r="V613" s="5" t="n"/>
      <c r="W613" s="6" t="n"/>
      <c r="X613" s="6" t="n"/>
      <c r="Z613" s="5" t="n"/>
    </row>
    <row r="614">
      <c r="D614" s="5" t="n"/>
      <c r="E614" s="5" t="n"/>
      <c r="F614" s="5" t="n"/>
      <c r="I614">
        <f>VALUE(LEFT($G614,1))*VALUE(LEFT($H614,1))</f>
        <v/>
      </c>
      <c r="J614">
        <f>IF($I614&gt;=20,"Critical",IF($I614&gt;=15,"High",IF($I614&gt;=10,"Medium",IF($I614&gt;=5,"Low",IF($I614&gt;0,"Very Low","")))))</f>
        <v/>
      </c>
      <c r="K614" s="5" t="n"/>
      <c r="O614">
        <f>VALUE(LEFT($M614,1))*VALUE(LEFT($N614,1))</f>
        <v/>
      </c>
      <c r="P614">
        <f>IF($O614&gt;=20,"Critical",IF($O614&gt;=15,"High",IF($O614&gt;=10,"Medium",IF($O614&gt;=5,"Low",IF($O614&gt;0,"Very Low","")))))</f>
        <v/>
      </c>
      <c r="S614" s="5" t="n"/>
      <c r="V614" s="5" t="n"/>
      <c r="W614" s="6" t="n"/>
      <c r="X614" s="6" t="n"/>
      <c r="Z614" s="5" t="n"/>
    </row>
    <row r="615">
      <c r="D615" s="5" t="n"/>
      <c r="E615" s="5" t="n"/>
      <c r="F615" s="5" t="n"/>
      <c r="I615">
        <f>VALUE(LEFT($G615,1))*VALUE(LEFT($H615,1))</f>
        <v/>
      </c>
      <c r="J615">
        <f>IF($I615&gt;=20,"Critical",IF($I615&gt;=15,"High",IF($I615&gt;=10,"Medium",IF($I615&gt;=5,"Low",IF($I615&gt;0,"Very Low","")))))</f>
        <v/>
      </c>
      <c r="K615" s="5" t="n"/>
      <c r="O615">
        <f>VALUE(LEFT($M615,1))*VALUE(LEFT($N615,1))</f>
        <v/>
      </c>
      <c r="P615">
        <f>IF($O615&gt;=20,"Critical",IF($O615&gt;=15,"High",IF($O615&gt;=10,"Medium",IF($O615&gt;=5,"Low",IF($O615&gt;0,"Very Low","")))))</f>
        <v/>
      </c>
      <c r="S615" s="5" t="n"/>
      <c r="V615" s="5" t="n"/>
      <c r="W615" s="6" t="n"/>
      <c r="X615" s="6" t="n"/>
      <c r="Z615" s="5" t="n"/>
    </row>
    <row r="616">
      <c r="D616" s="5" t="n"/>
      <c r="E616" s="5" t="n"/>
      <c r="F616" s="5" t="n"/>
      <c r="I616">
        <f>VALUE(LEFT($G616,1))*VALUE(LEFT($H616,1))</f>
        <v/>
      </c>
      <c r="J616">
        <f>IF($I616&gt;=20,"Critical",IF($I616&gt;=15,"High",IF($I616&gt;=10,"Medium",IF($I616&gt;=5,"Low",IF($I616&gt;0,"Very Low","")))))</f>
        <v/>
      </c>
      <c r="K616" s="5" t="n"/>
      <c r="O616">
        <f>VALUE(LEFT($M616,1))*VALUE(LEFT($N616,1))</f>
        <v/>
      </c>
      <c r="P616">
        <f>IF($O616&gt;=20,"Critical",IF($O616&gt;=15,"High",IF($O616&gt;=10,"Medium",IF($O616&gt;=5,"Low",IF($O616&gt;0,"Very Low","")))))</f>
        <v/>
      </c>
      <c r="S616" s="5" t="n"/>
      <c r="V616" s="5" t="n"/>
      <c r="W616" s="6" t="n"/>
      <c r="X616" s="6" t="n"/>
      <c r="Z616" s="5" t="n"/>
    </row>
    <row r="617">
      <c r="D617" s="5" t="n"/>
      <c r="E617" s="5" t="n"/>
      <c r="F617" s="5" t="n"/>
      <c r="I617">
        <f>VALUE(LEFT($G617,1))*VALUE(LEFT($H617,1))</f>
        <v/>
      </c>
      <c r="J617">
        <f>IF($I617&gt;=20,"Critical",IF($I617&gt;=15,"High",IF($I617&gt;=10,"Medium",IF($I617&gt;=5,"Low",IF($I617&gt;0,"Very Low","")))))</f>
        <v/>
      </c>
      <c r="K617" s="5" t="n"/>
      <c r="O617">
        <f>VALUE(LEFT($M617,1))*VALUE(LEFT($N617,1))</f>
        <v/>
      </c>
      <c r="P617">
        <f>IF($O617&gt;=20,"Critical",IF($O617&gt;=15,"High",IF($O617&gt;=10,"Medium",IF($O617&gt;=5,"Low",IF($O617&gt;0,"Very Low","")))))</f>
        <v/>
      </c>
      <c r="S617" s="5" t="n"/>
      <c r="V617" s="5" t="n"/>
      <c r="W617" s="6" t="n"/>
      <c r="X617" s="6" t="n"/>
      <c r="Z617" s="5" t="n"/>
    </row>
    <row r="618">
      <c r="D618" s="5" t="n"/>
      <c r="E618" s="5" t="n"/>
      <c r="F618" s="5" t="n"/>
      <c r="I618">
        <f>VALUE(LEFT($G618,1))*VALUE(LEFT($H618,1))</f>
        <v/>
      </c>
      <c r="J618">
        <f>IF($I618&gt;=20,"Critical",IF($I618&gt;=15,"High",IF($I618&gt;=10,"Medium",IF($I618&gt;=5,"Low",IF($I618&gt;0,"Very Low","")))))</f>
        <v/>
      </c>
      <c r="K618" s="5" t="n"/>
      <c r="O618">
        <f>VALUE(LEFT($M618,1))*VALUE(LEFT($N618,1))</f>
        <v/>
      </c>
      <c r="P618">
        <f>IF($O618&gt;=20,"Critical",IF($O618&gt;=15,"High",IF($O618&gt;=10,"Medium",IF($O618&gt;=5,"Low",IF($O618&gt;0,"Very Low","")))))</f>
        <v/>
      </c>
      <c r="S618" s="5" t="n"/>
      <c r="V618" s="5" t="n"/>
      <c r="W618" s="6" t="n"/>
      <c r="X618" s="6" t="n"/>
      <c r="Z618" s="5" t="n"/>
    </row>
    <row r="619">
      <c r="D619" s="5" t="n"/>
      <c r="E619" s="5" t="n"/>
      <c r="F619" s="5" t="n"/>
      <c r="I619">
        <f>VALUE(LEFT($G619,1))*VALUE(LEFT($H619,1))</f>
        <v/>
      </c>
      <c r="J619">
        <f>IF($I619&gt;=20,"Critical",IF($I619&gt;=15,"High",IF($I619&gt;=10,"Medium",IF($I619&gt;=5,"Low",IF($I619&gt;0,"Very Low","")))))</f>
        <v/>
      </c>
      <c r="K619" s="5" t="n"/>
      <c r="O619">
        <f>VALUE(LEFT($M619,1))*VALUE(LEFT($N619,1))</f>
        <v/>
      </c>
      <c r="P619">
        <f>IF($O619&gt;=20,"Critical",IF($O619&gt;=15,"High",IF($O619&gt;=10,"Medium",IF($O619&gt;=5,"Low",IF($O619&gt;0,"Very Low","")))))</f>
        <v/>
      </c>
      <c r="S619" s="5" t="n"/>
      <c r="V619" s="5" t="n"/>
      <c r="W619" s="6" t="n"/>
      <c r="X619" s="6" t="n"/>
      <c r="Z619" s="5" t="n"/>
    </row>
    <row r="620">
      <c r="D620" s="5" t="n"/>
      <c r="E620" s="5" t="n"/>
      <c r="F620" s="5" t="n"/>
      <c r="I620">
        <f>VALUE(LEFT($G620,1))*VALUE(LEFT($H620,1))</f>
        <v/>
      </c>
      <c r="J620">
        <f>IF($I620&gt;=20,"Critical",IF($I620&gt;=15,"High",IF($I620&gt;=10,"Medium",IF($I620&gt;=5,"Low",IF($I620&gt;0,"Very Low","")))))</f>
        <v/>
      </c>
      <c r="K620" s="5" t="n"/>
      <c r="O620">
        <f>VALUE(LEFT($M620,1))*VALUE(LEFT($N620,1))</f>
        <v/>
      </c>
      <c r="P620">
        <f>IF($O620&gt;=20,"Critical",IF($O620&gt;=15,"High",IF($O620&gt;=10,"Medium",IF($O620&gt;=5,"Low",IF($O620&gt;0,"Very Low","")))))</f>
        <v/>
      </c>
      <c r="S620" s="5" t="n"/>
      <c r="V620" s="5" t="n"/>
      <c r="W620" s="6" t="n"/>
      <c r="X620" s="6" t="n"/>
      <c r="Z620" s="5" t="n"/>
    </row>
    <row r="621">
      <c r="D621" s="5" t="n"/>
      <c r="E621" s="5" t="n"/>
      <c r="F621" s="5" t="n"/>
      <c r="I621">
        <f>VALUE(LEFT($G621,1))*VALUE(LEFT($H621,1))</f>
        <v/>
      </c>
      <c r="J621">
        <f>IF($I621&gt;=20,"Critical",IF($I621&gt;=15,"High",IF($I621&gt;=10,"Medium",IF($I621&gt;=5,"Low",IF($I621&gt;0,"Very Low","")))))</f>
        <v/>
      </c>
      <c r="K621" s="5" t="n"/>
      <c r="O621">
        <f>VALUE(LEFT($M621,1))*VALUE(LEFT($N621,1))</f>
        <v/>
      </c>
      <c r="P621">
        <f>IF($O621&gt;=20,"Critical",IF($O621&gt;=15,"High",IF($O621&gt;=10,"Medium",IF($O621&gt;=5,"Low",IF($O621&gt;0,"Very Low","")))))</f>
        <v/>
      </c>
      <c r="S621" s="5" t="n"/>
      <c r="V621" s="5" t="n"/>
      <c r="W621" s="6" t="n"/>
      <c r="X621" s="6" t="n"/>
      <c r="Z621" s="5" t="n"/>
    </row>
    <row r="622">
      <c r="D622" s="5" t="n"/>
      <c r="E622" s="5" t="n"/>
      <c r="F622" s="5" t="n"/>
      <c r="I622">
        <f>VALUE(LEFT($G622,1))*VALUE(LEFT($H622,1))</f>
        <v/>
      </c>
      <c r="J622">
        <f>IF($I622&gt;=20,"Critical",IF($I622&gt;=15,"High",IF($I622&gt;=10,"Medium",IF($I622&gt;=5,"Low",IF($I622&gt;0,"Very Low","")))))</f>
        <v/>
      </c>
      <c r="K622" s="5" t="n"/>
      <c r="O622">
        <f>VALUE(LEFT($M622,1))*VALUE(LEFT($N622,1))</f>
        <v/>
      </c>
      <c r="P622">
        <f>IF($O622&gt;=20,"Critical",IF($O622&gt;=15,"High",IF($O622&gt;=10,"Medium",IF($O622&gt;=5,"Low",IF($O622&gt;0,"Very Low","")))))</f>
        <v/>
      </c>
      <c r="S622" s="5" t="n"/>
      <c r="V622" s="5" t="n"/>
      <c r="W622" s="6" t="n"/>
      <c r="X622" s="6" t="n"/>
      <c r="Z622" s="5" t="n"/>
    </row>
    <row r="623">
      <c r="D623" s="5" t="n"/>
      <c r="E623" s="5" t="n"/>
      <c r="F623" s="5" t="n"/>
      <c r="I623">
        <f>VALUE(LEFT($G623,1))*VALUE(LEFT($H623,1))</f>
        <v/>
      </c>
      <c r="J623">
        <f>IF($I623&gt;=20,"Critical",IF($I623&gt;=15,"High",IF($I623&gt;=10,"Medium",IF($I623&gt;=5,"Low",IF($I623&gt;0,"Very Low","")))))</f>
        <v/>
      </c>
      <c r="K623" s="5" t="n"/>
      <c r="O623">
        <f>VALUE(LEFT($M623,1))*VALUE(LEFT($N623,1))</f>
        <v/>
      </c>
      <c r="P623">
        <f>IF($O623&gt;=20,"Critical",IF($O623&gt;=15,"High",IF($O623&gt;=10,"Medium",IF($O623&gt;=5,"Low",IF($O623&gt;0,"Very Low","")))))</f>
        <v/>
      </c>
      <c r="S623" s="5" t="n"/>
      <c r="V623" s="5" t="n"/>
      <c r="W623" s="6" t="n"/>
      <c r="X623" s="6" t="n"/>
      <c r="Z623" s="5" t="n"/>
    </row>
    <row r="624">
      <c r="D624" s="5" t="n"/>
      <c r="E624" s="5" t="n"/>
      <c r="F624" s="5" t="n"/>
      <c r="I624">
        <f>VALUE(LEFT($G624,1))*VALUE(LEFT($H624,1))</f>
        <v/>
      </c>
      <c r="J624">
        <f>IF($I624&gt;=20,"Critical",IF($I624&gt;=15,"High",IF($I624&gt;=10,"Medium",IF($I624&gt;=5,"Low",IF($I624&gt;0,"Very Low","")))))</f>
        <v/>
      </c>
      <c r="K624" s="5" t="n"/>
      <c r="O624">
        <f>VALUE(LEFT($M624,1))*VALUE(LEFT($N624,1))</f>
        <v/>
      </c>
      <c r="P624">
        <f>IF($O624&gt;=20,"Critical",IF($O624&gt;=15,"High",IF($O624&gt;=10,"Medium",IF($O624&gt;=5,"Low",IF($O624&gt;0,"Very Low","")))))</f>
        <v/>
      </c>
      <c r="S624" s="5" t="n"/>
      <c r="V624" s="5" t="n"/>
      <c r="W624" s="6" t="n"/>
      <c r="X624" s="6" t="n"/>
      <c r="Z624" s="5" t="n"/>
    </row>
    <row r="625">
      <c r="D625" s="5" t="n"/>
      <c r="E625" s="5" t="n"/>
      <c r="F625" s="5" t="n"/>
      <c r="I625">
        <f>VALUE(LEFT($G625,1))*VALUE(LEFT($H625,1))</f>
        <v/>
      </c>
      <c r="J625">
        <f>IF($I625&gt;=20,"Critical",IF($I625&gt;=15,"High",IF($I625&gt;=10,"Medium",IF($I625&gt;=5,"Low",IF($I625&gt;0,"Very Low","")))))</f>
        <v/>
      </c>
      <c r="K625" s="5" t="n"/>
      <c r="O625">
        <f>VALUE(LEFT($M625,1))*VALUE(LEFT($N625,1))</f>
        <v/>
      </c>
      <c r="P625">
        <f>IF($O625&gt;=20,"Critical",IF($O625&gt;=15,"High",IF($O625&gt;=10,"Medium",IF($O625&gt;=5,"Low",IF($O625&gt;0,"Very Low","")))))</f>
        <v/>
      </c>
      <c r="S625" s="5" t="n"/>
      <c r="V625" s="5" t="n"/>
      <c r="W625" s="6" t="n"/>
      <c r="X625" s="6" t="n"/>
      <c r="Z625" s="5" t="n"/>
    </row>
    <row r="626">
      <c r="D626" s="5" t="n"/>
      <c r="E626" s="5" t="n"/>
      <c r="F626" s="5" t="n"/>
      <c r="I626">
        <f>VALUE(LEFT($G626,1))*VALUE(LEFT($H626,1))</f>
        <v/>
      </c>
      <c r="J626">
        <f>IF($I626&gt;=20,"Critical",IF($I626&gt;=15,"High",IF($I626&gt;=10,"Medium",IF($I626&gt;=5,"Low",IF($I626&gt;0,"Very Low","")))))</f>
        <v/>
      </c>
      <c r="K626" s="5" t="n"/>
      <c r="O626">
        <f>VALUE(LEFT($M626,1))*VALUE(LEFT($N626,1))</f>
        <v/>
      </c>
      <c r="P626">
        <f>IF($O626&gt;=20,"Critical",IF($O626&gt;=15,"High",IF($O626&gt;=10,"Medium",IF($O626&gt;=5,"Low",IF($O626&gt;0,"Very Low","")))))</f>
        <v/>
      </c>
      <c r="S626" s="5" t="n"/>
      <c r="V626" s="5" t="n"/>
      <c r="W626" s="6" t="n"/>
      <c r="X626" s="6" t="n"/>
      <c r="Z626" s="5" t="n"/>
    </row>
    <row r="627">
      <c r="D627" s="5" t="n"/>
      <c r="E627" s="5" t="n"/>
      <c r="F627" s="5" t="n"/>
      <c r="I627">
        <f>VALUE(LEFT($G627,1))*VALUE(LEFT($H627,1))</f>
        <v/>
      </c>
      <c r="J627">
        <f>IF($I627&gt;=20,"Critical",IF($I627&gt;=15,"High",IF($I627&gt;=10,"Medium",IF($I627&gt;=5,"Low",IF($I627&gt;0,"Very Low","")))))</f>
        <v/>
      </c>
      <c r="K627" s="5" t="n"/>
      <c r="O627">
        <f>VALUE(LEFT($M627,1))*VALUE(LEFT($N627,1))</f>
        <v/>
      </c>
      <c r="P627">
        <f>IF($O627&gt;=20,"Critical",IF($O627&gt;=15,"High",IF($O627&gt;=10,"Medium",IF($O627&gt;=5,"Low",IF($O627&gt;0,"Very Low","")))))</f>
        <v/>
      </c>
      <c r="S627" s="5" t="n"/>
      <c r="V627" s="5" t="n"/>
      <c r="W627" s="6" t="n"/>
      <c r="X627" s="6" t="n"/>
      <c r="Z627" s="5" t="n"/>
    </row>
    <row r="628">
      <c r="D628" s="5" t="n"/>
      <c r="E628" s="5" t="n"/>
      <c r="F628" s="5" t="n"/>
      <c r="I628">
        <f>VALUE(LEFT($G628,1))*VALUE(LEFT($H628,1))</f>
        <v/>
      </c>
      <c r="J628">
        <f>IF($I628&gt;=20,"Critical",IF($I628&gt;=15,"High",IF($I628&gt;=10,"Medium",IF($I628&gt;=5,"Low",IF($I628&gt;0,"Very Low","")))))</f>
        <v/>
      </c>
      <c r="K628" s="5" t="n"/>
      <c r="O628">
        <f>VALUE(LEFT($M628,1))*VALUE(LEFT($N628,1))</f>
        <v/>
      </c>
      <c r="P628">
        <f>IF($O628&gt;=20,"Critical",IF($O628&gt;=15,"High",IF($O628&gt;=10,"Medium",IF($O628&gt;=5,"Low",IF($O628&gt;0,"Very Low","")))))</f>
        <v/>
      </c>
      <c r="S628" s="5" t="n"/>
      <c r="V628" s="5" t="n"/>
      <c r="W628" s="6" t="n"/>
      <c r="X628" s="6" t="n"/>
      <c r="Z628" s="5" t="n"/>
    </row>
    <row r="629">
      <c r="D629" s="5" t="n"/>
      <c r="E629" s="5" t="n"/>
      <c r="F629" s="5" t="n"/>
      <c r="I629">
        <f>VALUE(LEFT($G629,1))*VALUE(LEFT($H629,1))</f>
        <v/>
      </c>
      <c r="J629">
        <f>IF($I629&gt;=20,"Critical",IF($I629&gt;=15,"High",IF($I629&gt;=10,"Medium",IF($I629&gt;=5,"Low",IF($I629&gt;0,"Very Low","")))))</f>
        <v/>
      </c>
      <c r="K629" s="5" t="n"/>
      <c r="O629">
        <f>VALUE(LEFT($M629,1))*VALUE(LEFT($N629,1))</f>
        <v/>
      </c>
      <c r="P629">
        <f>IF($O629&gt;=20,"Critical",IF($O629&gt;=15,"High",IF($O629&gt;=10,"Medium",IF($O629&gt;=5,"Low",IF($O629&gt;0,"Very Low","")))))</f>
        <v/>
      </c>
      <c r="S629" s="5" t="n"/>
      <c r="V629" s="5" t="n"/>
      <c r="W629" s="6" t="n"/>
      <c r="X629" s="6" t="n"/>
      <c r="Z629" s="5" t="n"/>
    </row>
    <row r="630">
      <c r="D630" s="5" t="n"/>
      <c r="E630" s="5" t="n"/>
      <c r="F630" s="5" t="n"/>
      <c r="I630">
        <f>VALUE(LEFT($G630,1))*VALUE(LEFT($H630,1))</f>
        <v/>
      </c>
      <c r="J630">
        <f>IF($I630&gt;=20,"Critical",IF($I630&gt;=15,"High",IF($I630&gt;=10,"Medium",IF($I630&gt;=5,"Low",IF($I630&gt;0,"Very Low","")))))</f>
        <v/>
      </c>
      <c r="K630" s="5" t="n"/>
      <c r="O630">
        <f>VALUE(LEFT($M630,1))*VALUE(LEFT($N630,1))</f>
        <v/>
      </c>
      <c r="P630">
        <f>IF($O630&gt;=20,"Critical",IF($O630&gt;=15,"High",IF($O630&gt;=10,"Medium",IF($O630&gt;=5,"Low",IF($O630&gt;0,"Very Low","")))))</f>
        <v/>
      </c>
      <c r="S630" s="5" t="n"/>
      <c r="V630" s="5" t="n"/>
      <c r="W630" s="6" t="n"/>
      <c r="X630" s="6" t="n"/>
      <c r="Z630" s="5" t="n"/>
    </row>
    <row r="631">
      <c r="D631" s="5" t="n"/>
      <c r="E631" s="5" t="n"/>
      <c r="F631" s="5" t="n"/>
      <c r="I631">
        <f>VALUE(LEFT($G631,1))*VALUE(LEFT($H631,1))</f>
        <v/>
      </c>
      <c r="J631">
        <f>IF($I631&gt;=20,"Critical",IF($I631&gt;=15,"High",IF($I631&gt;=10,"Medium",IF($I631&gt;=5,"Low",IF($I631&gt;0,"Very Low","")))))</f>
        <v/>
      </c>
      <c r="K631" s="5" t="n"/>
      <c r="O631">
        <f>VALUE(LEFT($M631,1))*VALUE(LEFT($N631,1))</f>
        <v/>
      </c>
      <c r="P631">
        <f>IF($O631&gt;=20,"Critical",IF($O631&gt;=15,"High",IF($O631&gt;=10,"Medium",IF($O631&gt;=5,"Low",IF($O631&gt;0,"Very Low","")))))</f>
        <v/>
      </c>
      <c r="S631" s="5" t="n"/>
      <c r="V631" s="5" t="n"/>
      <c r="W631" s="6" t="n"/>
      <c r="X631" s="6" t="n"/>
      <c r="Z631" s="5" t="n"/>
    </row>
    <row r="632">
      <c r="D632" s="5" t="n"/>
      <c r="E632" s="5" t="n"/>
      <c r="F632" s="5" t="n"/>
      <c r="I632">
        <f>VALUE(LEFT($G632,1))*VALUE(LEFT($H632,1))</f>
        <v/>
      </c>
      <c r="J632">
        <f>IF($I632&gt;=20,"Critical",IF($I632&gt;=15,"High",IF($I632&gt;=10,"Medium",IF($I632&gt;=5,"Low",IF($I632&gt;0,"Very Low","")))))</f>
        <v/>
      </c>
      <c r="K632" s="5" t="n"/>
      <c r="O632">
        <f>VALUE(LEFT($M632,1))*VALUE(LEFT($N632,1))</f>
        <v/>
      </c>
      <c r="P632">
        <f>IF($O632&gt;=20,"Critical",IF($O632&gt;=15,"High",IF($O632&gt;=10,"Medium",IF($O632&gt;=5,"Low",IF($O632&gt;0,"Very Low","")))))</f>
        <v/>
      </c>
      <c r="S632" s="5" t="n"/>
      <c r="V632" s="5" t="n"/>
      <c r="W632" s="6" t="n"/>
      <c r="X632" s="6" t="n"/>
      <c r="Z632" s="5" t="n"/>
    </row>
    <row r="633">
      <c r="D633" s="5" t="n"/>
      <c r="E633" s="5" t="n"/>
      <c r="F633" s="5" t="n"/>
      <c r="I633">
        <f>VALUE(LEFT($G633,1))*VALUE(LEFT($H633,1))</f>
        <v/>
      </c>
      <c r="J633">
        <f>IF($I633&gt;=20,"Critical",IF($I633&gt;=15,"High",IF($I633&gt;=10,"Medium",IF($I633&gt;=5,"Low",IF($I633&gt;0,"Very Low","")))))</f>
        <v/>
      </c>
      <c r="K633" s="5" t="n"/>
      <c r="O633">
        <f>VALUE(LEFT($M633,1))*VALUE(LEFT($N633,1))</f>
        <v/>
      </c>
      <c r="P633">
        <f>IF($O633&gt;=20,"Critical",IF($O633&gt;=15,"High",IF($O633&gt;=10,"Medium",IF($O633&gt;=5,"Low",IF($O633&gt;0,"Very Low","")))))</f>
        <v/>
      </c>
      <c r="S633" s="5" t="n"/>
      <c r="V633" s="5" t="n"/>
      <c r="W633" s="6" t="n"/>
      <c r="X633" s="6" t="n"/>
      <c r="Z633" s="5" t="n"/>
    </row>
    <row r="634">
      <c r="D634" s="5" t="n"/>
      <c r="E634" s="5" t="n"/>
      <c r="F634" s="5" t="n"/>
      <c r="I634">
        <f>VALUE(LEFT($G634,1))*VALUE(LEFT($H634,1))</f>
        <v/>
      </c>
      <c r="J634">
        <f>IF($I634&gt;=20,"Critical",IF($I634&gt;=15,"High",IF($I634&gt;=10,"Medium",IF($I634&gt;=5,"Low",IF($I634&gt;0,"Very Low","")))))</f>
        <v/>
      </c>
      <c r="K634" s="5" t="n"/>
      <c r="O634">
        <f>VALUE(LEFT($M634,1))*VALUE(LEFT($N634,1))</f>
        <v/>
      </c>
      <c r="P634">
        <f>IF($O634&gt;=20,"Critical",IF($O634&gt;=15,"High",IF($O634&gt;=10,"Medium",IF($O634&gt;=5,"Low",IF($O634&gt;0,"Very Low","")))))</f>
        <v/>
      </c>
      <c r="S634" s="5" t="n"/>
      <c r="V634" s="5" t="n"/>
      <c r="W634" s="6" t="n"/>
      <c r="X634" s="6" t="n"/>
      <c r="Z634" s="5" t="n"/>
    </row>
    <row r="635">
      <c r="D635" s="5" t="n"/>
      <c r="E635" s="5" t="n"/>
      <c r="F635" s="5" t="n"/>
      <c r="I635">
        <f>VALUE(LEFT($G635,1))*VALUE(LEFT($H635,1))</f>
        <v/>
      </c>
      <c r="J635">
        <f>IF($I635&gt;=20,"Critical",IF($I635&gt;=15,"High",IF($I635&gt;=10,"Medium",IF($I635&gt;=5,"Low",IF($I635&gt;0,"Very Low","")))))</f>
        <v/>
      </c>
      <c r="K635" s="5" t="n"/>
      <c r="O635">
        <f>VALUE(LEFT($M635,1))*VALUE(LEFT($N635,1))</f>
        <v/>
      </c>
      <c r="P635">
        <f>IF($O635&gt;=20,"Critical",IF($O635&gt;=15,"High",IF($O635&gt;=10,"Medium",IF($O635&gt;=5,"Low",IF($O635&gt;0,"Very Low","")))))</f>
        <v/>
      </c>
      <c r="S635" s="5" t="n"/>
      <c r="V635" s="5" t="n"/>
      <c r="W635" s="6" t="n"/>
      <c r="X635" s="6" t="n"/>
      <c r="Z635" s="5" t="n"/>
    </row>
    <row r="636">
      <c r="D636" s="5" t="n"/>
      <c r="E636" s="5" t="n"/>
      <c r="F636" s="5" t="n"/>
      <c r="I636">
        <f>VALUE(LEFT($G636,1))*VALUE(LEFT($H636,1))</f>
        <v/>
      </c>
      <c r="J636">
        <f>IF($I636&gt;=20,"Critical",IF($I636&gt;=15,"High",IF($I636&gt;=10,"Medium",IF($I636&gt;=5,"Low",IF($I636&gt;0,"Very Low","")))))</f>
        <v/>
      </c>
      <c r="K636" s="5" t="n"/>
      <c r="O636">
        <f>VALUE(LEFT($M636,1))*VALUE(LEFT($N636,1))</f>
        <v/>
      </c>
      <c r="P636">
        <f>IF($O636&gt;=20,"Critical",IF($O636&gt;=15,"High",IF($O636&gt;=10,"Medium",IF($O636&gt;=5,"Low",IF($O636&gt;0,"Very Low","")))))</f>
        <v/>
      </c>
      <c r="S636" s="5" t="n"/>
      <c r="V636" s="5" t="n"/>
      <c r="W636" s="6" t="n"/>
      <c r="X636" s="6" t="n"/>
      <c r="Z636" s="5" t="n"/>
    </row>
    <row r="637">
      <c r="D637" s="5" t="n"/>
      <c r="E637" s="5" t="n"/>
      <c r="F637" s="5" t="n"/>
      <c r="I637">
        <f>VALUE(LEFT($G637,1))*VALUE(LEFT($H637,1))</f>
        <v/>
      </c>
      <c r="J637">
        <f>IF($I637&gt;=20,"Critical",IF($I637&gt;=15,"High",IF($I637&gt;=10,"Medium",IF($I637&gt;=5,"Low",IF($I637&gt;0,"Very Low","")))))</f>
        <v/>
      </c>
      <c r="K637" s="5" t="n"/>
      <c r="O637">
        <f>VALUE(LEFT($M637,1))*VALUE(LEFT($N637,1))</f>
        <v/>
      </c>
      <c r="P637">
        <f>IF($O637&gt;=20,"Critical",IF($O637&gt;=15,"High",IF($O637&gt;=10,"Medium",IF($O637&gt;=5,"Low",IF($O637&gt;0,"Very Low","")))))</f>
        <v/>
      </c>
      <c r="S637" s="5" t="n"/>
      <c r="V637" s="5" t="n"/>
      <c r="W637" s="6" t="n"/>
      <c r="X637" s="6" t="n"/>
      <c r="Z637" s="5" t="n"/>
    </row>
    <row r="638">
      <c r="D638" s="5" t="n"/>
      <c r="E638" s="5" t="n"/>
      <c r="F638" s="5" t="n"/>
      <c r="I638">
        <f>VALUE(LEFT($G638,1))*VALUE(LEFT($H638,1))</f>
        <v/>
      </c>
      <c r="J638">
        <f>IF($I638&gt;=20,"Critical",IF($I638&gt;=15,"High",IF($I638&gt;=10,"Medium",IF($I638&gt;=5,"Low",IF($I638&gt;0,"Very Low","")))))</f>
        <v/>
      </c>
      <c r="K638" s="5" t="n"/>
      <c r="O638">
        <f>VALUE(LEFT($M638,1))*VALUE(LEFT($N638,1))</f>
        <v/>
      </c>
      <c r="P638">
        <f>IF($O638&gt;=20,"Critical",IF($O638&gt;=15,"High",IF($O638&gt;=10,"Medium",IF($O638&gt;=5,"Low",IF($O638&gt;0,"Very Low","")))))</f>
        <v/>
      </c>
      <c r="S638" s="5" t="n"/>
      <c r="V638" s="5" t="n"/>
      <c r="W638" s="6" t="n"/>
      <c r="X638" s="6" t="n"/>
      <c r="Z638" s="5" t="n"/>
    </row>
    <row r="639">
      <c r="D639" s="5" t="n"/>
      <c r="E639" s="5" t="n"/>
      <c r="F639" s="5" t="n"/>
      <c r="I639">
        <f>VALUE(LEFT($G639,1))*VALUE(LEFT($H639,1))</f>
        <v/>
      </c>
      <c r="J639">
        <f>IF($I639&gt;=20,"Critical",IF($I639&gt;=15,"High",IF($I639&gt;=10,"Medium",IF($I639&gt;=5,"Low",IF($I639&gt;0,"Very Low","")))))</f>
        <v/>
      </c>
      <c r="K639" s="5" t="n"/>
      <c r="O639">
        <f>VALUE(LEFT($M639,1))*VALUE(LEFT($N639,1))</f>
        <v/>
      </c>
      <c r="P639">
        <f>IF($O639&gt;=20,"Critical",IF($O639&gt;=15,"High",IF($O639&gt;=10,"Medium",IF($O639&gt;=5,"Low",IF($O639&gt;0,"Very Low","")))))</f>
        <v/>
      </c>
      <c r="S639" s="5" t="n"/>
      <c r="V639" s="5" t="n"/>
      <c r="W639" s="6" t="n"/>
      <c r="X639" s="6" t="n"/>
      <c r="Z639" s="5" t="n"/>
    </row>
    <row r="640">
      <c r="D640" s="5" t="n"/>
      <c r="E640" s="5" t="n"/>
      <c r="F640" s="5" t="n"/>
      <c r="I640">
        <f>VALUE(LEFT($G640,1))*VALUE(LEFT($H640,1))</f>
        <v/>
      </c>
      <c r="J640">
        <f>IF($I640&gt;=20,"Critical",IF($I640&gt;=15,"High",IF($I640&gt;=10,"Medium",IF($I640&gt;=5,"Low",IF($I640&gt;0,"Very Low","")))))</f>
        <v/>
      </c>
      <c r="K640" s="5" t="n"/>
      <c r="O640">
        <f>VALUE(LEFT($M640,1))*VALUE(LEFT($N640,1))</f>
        <v/>
      </c>
      <c r="P640">
        <f>IF($O640&gt;=20,"Critical",IF($O640&gt;=15,"High",IF($O640&gt;=10,"Medium",IF($O640&gt;=5,"Low",IF($O640&gt;0,"Very Low","")))))</f>
        <v/>
      </c>
      <c r="S640" s="5" t="n"/>
      <c r="V640" s="5" t="n"/>
      <c r="W640" s="6" t="n"/>
      <c r="X640" s="6" t="n"/>
      <c r="Z640" s="5" t="n"/>
    </row>
    <row r="641">
      <c r="D641" s="5" t="n"/>
      <c r="E641" s="5" t="n"/>
      <c r="F641" s="5" t="n"/>
      <c r="I641">
        <f>VALUE(LEFT($G641,1))*VALUE(LEFT($H641,1))</f>
        <v/>
      </c>
      <c r="J641">
        <f>IF($I641&gt;=20,"Critical",IF($I641&gt;=15,"High",IF($I641&gt;=10,"Medium",IF($I641&gt;=5,"Low",IF($I641&gt;0,"Very Low","")))))</f>
        <v/>
      </c>
      <c r="K641" s="5" t="n"/>
      <c r="O641">
        <f>VALUE(LEFT($M641,1))*VALUE(LEFT($N641,1))</f>
        <v/>
      </c>
      <c r="P641">
        <f>IF($O641&gt;=20,"Critical",IF($O641&gt;=15,"High",IF($O641&gt;=10,"Medium",IF($O641&gt;=5,"Low",IF($O641&gt;0,"Very Low","")))))</f>
        <v/>
      </c>
      <c r="S641" s="5" t="n"/>
      <c r="V641" s="5" t="n"/>
      <c r="W641" s="6" t="n"/>
      <c r="X641" s="6" t="n"/>
      <c r="Z641" s="5" t="n"/>
    </row>
    <row r="642">
      <c r="D642" s="5" t="n"/>
      <c r="E642" s="5" t="n"/>
      <c r="F642" s="5" t="n"/>
      <c r="I642">
        <f>VALUE(LEFT($G642,1))*VALUE(LEFT($H642,1))</f>
        <v/>
      </c>
      <c r="J642">
        <f>IF($I642&gt;=20,"Critical",IF($I642&gt;=15,"High",IF($I642&gt;=10,"Medium",IF($I642&gt;=5,"Low",IF($I642&gt;0,"Very Low","")))))</f>
        <v/>
      </c>
      <c r="K642" s="5" t="n"/>
      <c r="O642">
        <f>VALUE(LEFT($M642,1))*VALUE(LEFT($N642,1))</f>
        <v/>
      </c>
      <c r="P642">
        <f>IF($O642&gt;=20,"Critical",IF($O642&gt;=15,"High",IF($O642&gt;=10,"Medium",IF($O642&gt;=5,"Low",IF($O642&gt;0,"Very Low","")))))</f>
        <v/>
      </c>
      <c r="S642" s="5" t="n"/>
      <c r="V642" s="5" t="n"/>
      <c r="W642" s="6" t="n"/>
      <c r="X642" s="6" t="n"/>
      <c r="Z642" s="5" t="n"/>
    </row>
    <row r="643">
      <c r="D643" s="5" t="n"/>
      <c r="E643" s="5" t="n"/>
      <c r="F643" s="5" t="n"/>
      <c r="I643">
        <f>VALUE(LEFT($G643,1))*VALUE(LEFT($H643,1))</f>
        <v/>
      </c>
      <c r="J643">
        <f>IF($I643&gt;=20,"Critical",IF($I643&gt;=15,"High",IF($I643&gt;=10,"Medium",IF($I643&gt;=5,"Low",IF($I643&gt;0,"Very Low","")))))</f>
        <v/>
      </c>
      <c r="K643" s="5" t="n"/>
      <c r="O643">
        <f>VALUE(LEFT($M643,1))*VALUE(LEFT($N643,1))</f>
        <v/>
      </c>
      <c r="P643">
        <f>IF($O643&gt;=20,"Critical",IF($O643&gt;=15,"High",IF($O643&gt;=10,"Medium",IF($O643&gt;=5,"Low",IF($O643&gt;0,"Very Low","")))))</f>
        <v/>
      </c>
      <c r="S643" s="5" t="n"/>
      <c r="V643" s="5" t="n"/>
      <c r="W643" s="6" t="n"/>
      <c r="X643" s="6" t="n"/>
      <c r="Z643" s="5" t="n"/>
    </row>
    <row r="644">
      <c r="D644" s="5" t="n"/>
      <c r="E644" s="5" t="n"/>
      <c r="F644" s="5" t="n"/>
      <c r="I644">
        <f>VALUE(LEFT($G644,1))*VALUE(LEFT($H644,1))</f>
        <v/>
      </c>
      <c r="J644">
        <f>IF($I644&gt;=20,"Critical",IF($I644&gt;=15,"High",IF($I644&gt;=10,"Medium",IF($I644&gt;=5,"Low",IF($I644&gt;0,"Very Low","")))))</f>
        <v/>
      </c>
      <c r="K644" s="5" t="n"/>
      <c r="O644">
        <f>VALUE(LEFT($M644,1))*VALUE(LEFT($N644,1))</f>
        <v/>
      </c>
      <c r="P644">
        <f>IF($O644&gt;=20,"Critical",IF($O644&gt;=15,"High",IF($O644&gt;=10,"Medium",IF($O644&gt;=5,"Low",IF($O644&gt;0,"Very Low","")))))</f>
        <v/>
      </c>
      <c r="S644" s="5" t="n"/>
      <c r="V644" s="5" t="n"/>
      <c r="W644" s="6" t="n"/>
      <c r="X644" s="6" t="n"/>
      <c r="Z644" s="5" t="n"/>
    </row>
    <row r="645">
      <c r="D645" s="5" t="n"/>
      <c r="E645" s="5" t="n"/>
      <c r="F645" s="5" t="n"/>
      <c r="I645">
        <f>VALUE(LEFT($G645,1))*VALUE(LEFT($H645,1))</f>
        <v/>
      </c>
      <c r="J645">
        <f>IF($I645&gt;=20,"Critical",IF($I645&gt;=15,"High",IF($I645&gt;=10,"Medium",IF($I645&gt;=5,"Low",IF($I645&gt;0,"Very Low","")))))</f>
        <v/>
      </c>
      <c r="K645" s="5" t="n"/>
      <c r="O645">
        <f>VALUE(LEFT($M645,1))*VALUE(LEFT($N645,1))</f>
        <v/>
      </c>
      <c r="P645">
        <f>IF($O645&gt;=20,"Critical",IF($O645&gt;=15,"High",IF($O645&gt;=10,"Medium",IF($O645&gt;=5,"Low",IF($O645&gt;0,"Very Low","")))))</f>
        <v/>
      </c>
      <c r="S645" s="5" t="n"/>
      <c r="V645" s="5" t="n"/>
      <c r="W645" s="6" t="n"/>
      <c r="X645" s="6" t="n"/>
      <c r="Z645" s="5" t="n"/>
    </row>
    <row r="646">
      <c r="D646" s="5" t="n"/>
      <c r="E646" s="5" t="n"/>
      <c r="F646" s="5" t="n"/>
      <c r="I646">
        <f>VALUE(LEFT($G646,1))*VALUE(LEFT($H646,1))</f>
        <v/>
      </c>
      <c r="J646">
        <f>IF($I646&gt;=20,"Critical",IF($I646&gt;=15,"High",IF($I646&gt;=10,"Medium",IF($I646&gt;=5,"Low",IF($I646&gt;0,"Very Low","")))))</f>
        <v/>
      </c>
      <c r="K646" s="5" t="n"/>
      <c r="O646">
        <f>VALUE(LEFT($M646,1))*VALUE(LEFT($N646,1))</f>
        <v/>
      </c>
      <c r="P646">
        <f>IF($O646&gt;=20,"Critical",IF($O646&gt;=15,"High",IF($O646&gt;=10,"Medium",IF($O646&gt;=5,"Low",IF($O646&gt;0,"Very Low","")))))</f>
        <v/>
      </c>
      <c r="S646" s="5" t="n"/>
      <c r="V646" s="5" t="n"/>
      <c r="W646" s="6" t="n"/>
      <c r="X646" s="6" t="n"/>
      <c r="Z646" s="5" t="n"/>
    </row>
    <row r="647">
      <c r="D647" s="5" t="n"/>
      <c r="E647" s="5" t="n"/>
      <c r="F647" s="5" t="n"/>
      <c r="I647">
        <f>VALUE(LEFT($G647,1))*VALUE(LEFT($H647,1))</f>
        <v/>
      </c>
      <c r="J647">
        <f>IF($I647&gt;=20,"Critical",IF($I647&gt;=15,"High",IF($I647&gt;=10,"Medium",IF($I647&gt;=5,"Low",IF($I647&gt;0,"Very Low","")))))</f>
        <v/>
      </c>
      <c r="K647" s="5" t="n"/>
      <c r="O647">
        <f>VALUE(LEFT($M647,1))*VALUE(LEFT($N647,1))</f>
        <v/>
      </c>
      <c r="P647">
        <f>IF($O647&gt;=20,"Critical",IF($O647&gt;=15,"High",IF($O647&gt;=10,"Medium",IF($O647&gt;=5,"Low",IF($O647&gt;0,"Very Low","")))))</f>
        <v/>
      </c>
      <c r="S647" s="5" t="n"/>
      <c r="V647" s="5" t="n"/>
      <c r="W647" s="6" t="n"/>
      <c r="X647" s="6" t="n"/>
      <c r="Z647" s="5" t="n"/>
    </row>
    <row r="648">
      <c r="D648" s="5" t="n"/>
      <c r="E648" s="5" t="n"/>
      <c r="F648" s="5" t="n"/>
      <c r="I648">
        <f>VALUE(LEFT($G648,1))*VALUE(LEFT($H648,1))</f>
        <v/>
      </c>
      <c r="J648">
        <f>IF($I648&gt;=20,"Critical",IF($I648&gt;=15,"High",IF($I648&gt;=10,"Medium",IF($I648&gt;=5,"Low",IF($I648&gt;0,"Very Low","")))))</f>
        <v/>
      </c>
      <c r="K648" s="5" t="n"/>
      <c r="O648">
        <f>VALUE(LEFT($M648,1))*VALUE(LEFT($N648,1))</f>
        <v/>
      </c>
      <c r="P648">
        <f>IF($O648&gt;=20,"Critical",IF($O648&gt;=15,"High",IF($O648&gt;=10,"Medium",IF($O648&gt;=5,"Low",IF($O648&gt;0,"Very Low","")))))</f>
        <v/>
      </c>
      <c r="S648" s="5" t="n"/>
      <c r="V648" s="5" t="n"/>
      <c r="W648" s="6" t="n"/>
      <c r="X648" s="6" t="n"/>
      <c r="Z648" s="5" t="n"/>
    </row>
    <row r="649">
      <c r="D649" s="5" t="n"/>
      <c r="E649" s="5" t="n"/>
      <c r="F649" s="5" t="n"/>
      <c r="I649">
        <f>VALUE(LEFT($G649,1))*VALUE(LEFT($H649,1))</f>
        <v/>
      </c>
      <c r="J649">
        <f>IF($I649&gt;=20,"Critical",IF($I649&gt;=15,"High",IF($I649&gt;=10,"Medium",IF($I649&gt;=5,"Low",IF($I649&gt;0,"Very Low","")))))</f>
        <v/>
      </c>
      <c r="K649" s="5" t="n"/>
      <c r="O649">
        <f>VALUE(LEFT($M649,1))*VALUE(LEFT($N649,1))</f>
        <v/>
      </c>
      <c r="P649">
        <f>IF($O649&gt;=20,"Critical",IF($O649&gt;=15,"High",IF($O649&gt;=10,"Medium",IF($O649&gt;=5,"Low",IF($O649&gt;0,"Very Low","")))))</f>
        <v/>
      </c>
      <c r="S649" s="5" t="n"/>
      <c r="V649" s="5" t="n"/>
      <c r="W649" s="6" t="n"/>
      <c r="X649" s="6" t="n"/>
      <c r="Z649" s="5" t="n"/>
    </row>
    <row r="650">
      <c r="D650" s="5" t="n"/>
      <c r="E650" s="5" t="n"/>
      <c r="F650" s="5" t="n"/>
      <c r="I650">
        <f>VALUE(LEFT($G650,1))*VALUE(LEFT($H650,1))</f>
        <v/>
      </c>
      <c r="J650">
        <f>IF($I650&gt;=20,"Critical",IF($I650&gt;=15,"High",IF($I650&gt;=10,"Medium",IF($I650&gt;=5,"Low",IF($I650&gt;0,"Very Low","")))))</f>
        <v/>
      </c>
      <c r="K650" s="5" t="n"/>
      <c r="O650">
        <f>VALUE(LEFT($M650,1))*VALUE(LEFT($N650,1))</f>
        <v/>
      </c>
      <c r="P650">
        <f>IF($O650&gt;=20,"Critical",IF($O650&gt;=15,"High",IF($O650&gt;=10,"Medium",IF($O650&gt;=5,"Low",IF($O650&gt;0,"Very Low","")))))</f>
        <v/>
      </c>
      <c r="S650" s="5" t="n"/>
      <c r="V650" s="5" t="n"/>
      <c r="W650" s="6" t="n"/>
      <c r="X650" s="6" t="n"/>
      <c r="Z650" s="5" t="n"/>
    </row>
    <row r="651">
      <c r="D651" s="5" t="n"/>
      <c r="E651" s="5" t="n"/>
      <c r="F651" s="5" t="n"/>
      <c r="I651">
        <f>VALUE(LEFT($G651,1))*VALUE(LEFT($H651,1))</f>
        <v/>
      </c>
      <c r="J651">
        <f>IF($I651&gt;=20,"Critical",IF($I651&gt;=15,"High",IF($I651&gt;=10,"Medium",IF($I651&gt;=5,"Low",IF($I651&gt;0,"Very Low","")))))</f>
        <v/>
      </c>
      <c r="K651" s="5" t="n"/>
      <c r="O651">
        <f>VALUE(LEFT($M651,1))*VALUE(LEFT($N651,1))</f>
        <v/>
      </c>
      <c r="P651">
        <f>IF($O651&gt;=20,"Critical",IF($O651&gt;=15,"High",IF($O651&gt;=10,"Medium",IF($O651&gt;=5,"Low",IF($O651&gt;0,"Very Low","")))))</f>
        <v/>
      </c>
      <c r="S651" s="5" t="n"/>
      <c r="V651" s="5" t="n"/>
      <c r="W651" s="6" t="n"/>
      <c r="X651" s="6" t="n"/>
      <c r="Z651" s="5" t="n"/>
    </row>
    <row r="652">
      <c r="D652" s="5" t="n"/>
      <c r="E652" s="5" t="n"/>
      <c r="F652" s="5" t="n"/>
      <c r="I652">
        <f>VALUE(LEFT($G652,1))*VALUE(LEFT($H652,1))</f>
        <v/>
      </c>
      <c r="J652">
        <f>IF($I652&gt;=20,"Critical",IF($I652&gt;=15,"High",IF($I652&gt;=10,"Medium",IF($I652&gt;=5,"Low",IF($I652&gt;0,"Very Low","")))))</f>
        <v/>
      </c>
      <c r="K652" s="5" t="n"/>
      <c r="O652">
        <f>VALUE(LEFT($M652,1))*VALUE(LEFT($N652,1))</f>
        <v/>
      </c>
      <c r="P652">
        <f>IF($O652&gt;=20,"Critical",IF($O652&gt;=15,"High",IF($O652&gt;=10,"Medium",IF($O652&gt;=5,"Low",IF($O652&gt;0,"Very Low","")))))</f>
        <v/>
      </c>
      <c r="S652" s="5" t="n"/>
      <c r="V652" s="5" t="n"/>
      <c r="W652" s="6" t="n"/>
      <c r="X652" s="6" t="n"/>
      <c r="Z652" s="5" t="n"/>
    </row>
    <row r="653">
      <c r="D653" s="5" t="n"/>
      <c r="E653" s="5" t="n"/>
      <c r="F653" s="5" t="n"/>
      <c r="I653">
        <f>VALUE(LEFT($G653,1))*VALUE(LEFT($H653,1))</f>
        <v/>
      </c>
      <c r="J653">
        <f>IF($I653&gt;=20,"Critical",IF($I653&gt;=15,"High",IF($I653&gt;=10,"Medium",IF($I653&gt;=5,"Low",IF($I653&gt;0,"Very Low","")))))</f>
        <v/>
      </c>
      <c r="K653" s="5" t="n"/>
      <c r="O653">
        <f>VALUE(LEFT($M653,1))*VALUE(LEFT($N653,1))</f>
        <v/>
      </c>
      <c r="P653">
        <f>IF($O653&gt;=20,"Critical",IF($O653&gt;=15,"High",IF($O653&gt;=10,"Medium",IF($O653&gt;=5,"Low",IF($O653&gt;0,"Very Low","")))))</f>
        <v/>
      </c>
      <c r="S653" s="5" t="n"/>
      <c r="V653" s="5" t="n"/>
      <c r="W653" s="6" t="n"/>
      <c r="X653" s="6" t="n"/>
      <c r="Z653" s="5" t="n"/>
    </row>
    <row r="654">
      <c r="D654" s="5" t="n"/>
      <c r="E654" s="5" t="n"/>
      <c r="F654" s="5" t="n"/>
      <c r="I654">
        <f>VALUE(LEFT($G654,1))*VALUE(LEFT($H654,1))</f>
        <v/>
      </c>
      <c r="J654">
        <f>IF($I654&gt;=20,"Critical",IF($I654&gt;=15,"High",IF($I654&gt;=10,"Medium",IF($I654&gt;=5,"Low",IF($I654&gt;0,"Very Low","")))))</f>
        <v/>
      </c>
      <c r="K654" s="5" t="n"/>
      <c r="O654">
        <f>VALUE(LEFT($M654,1))*VALUE(LEFT($N654,1))</f>
        <v/>
      </c>
      <c r="P654">
        <f>IF($O654&gt;=20,"Critical",IF($O654&gt;=15,"High",IF($O654&gt;=10,"Medium",IF($O654&gt;=5,"Low",IF($O654&gt;0,"Very Low","")))))</f>
        <v/>
      </c>
      <c r="S654" s="5" t="n"/>
      <c r="V654" s="5" t="n"/>
      <c r="W654" s="6" t="n"/>
      <c r="X654" s="6" t="n"/>
      <c r="Z654" s="5" t="n"/>
    </row>
    <row r="655">
      <c r="D655" s="5" t="n"/>
      <c r="E655" s="5" t="n"/>
      <c r="F655" s="5" t="n"/>
      <c r="I655">
        <f>VALUE(LEFT($G655,1))*VALUE(LEFT($H655,1))</f>
        <v/>
      </c>
      <c r="J655">
        <f>IF($I655&gt;=20,"Critical",IF($I655&gt;=15,"High",IF($I655&gt;=10,"Medium",IF($I655&gt;=5,"Low",IF($I655&gt;0,"Very Low","")))))</f>
        <v/>
      </c>
      <c r="K655" s="5" t="n"/>
      <c r="O655">
        <f>VALUE(LEFT($M655,1))*VALUE(LEFT($N655,1))</f>
        <v/>
      </c>
      <c r="P655">
        <f>IF($O655&gt;=20,"Critical",IF($O655&gt;=15,"High",IF($O655&gt;=10,"Medium",IF($O655&gt;=5,"Low",IF($O655&gt;0,"Very Low","")))))</f>
        <v/>
      </c>
      <c r="S655" s="5" t="n"/>
      <c r="V655" s="5" t="n"/>
      <c r="W655" s="6" t="n"/>
      <c r="X655" s="6" t="n"/>
      <c r="Z655" s="5" t="n"/>
    </row>
    <row r="656">
      <c r="D656" s="5" t="n"/>
      <c r="E656" s="5" t="n"/>
      <c r="F656" s="5" t="n"/>
      <c r="I656">
        <f>VALUE(LEFT($G656,1))*VALUE(LEFT($H656,1))</f>
        <v/>
      </c>
      <c r="J656">
        <f>IF($I656&gt;=20,"Critical",IF($I656&gt;=15,"High",IF($I656&gt;=10,"Medium",IF($I656&gt;=5,"Low",IF($I656&gt;0,"Very Low","")))))</f>
        <v/>
      </c>
      <c r="K656" s="5" t="n"/>
      <c r="O656">
        <f>VALUE(LEFT($M656,1))*VALUE(LEFT($N656,1))</f>
        <v/>
      </c>
      <c r="P656">
        <f>IF($O656&gt;=20,"Critical",IF($O656&gt;=15,"High",IF($O656&gt;=10,"Medium",IF($O656&gt;=5,"Low",IF($O656&gt;0,"Very Low","")))))</f>
        <v/>
      </c>
      <c r="S656" s="5" t="n"/>
      <c r="V656" s="5" t="n"/>
      <c r="W656" s="6" t="n"/>
      <c r="X656" s="6" t="n"/>
      <c r="Z656" s="5" t="n"/>
    </row>
    <row r="657">
      <c r="D657" s="5" t="n"/>
      <c r="E657" s="5" t="n"/>
      <c r="F657" s="5" t="n"/>
      <c r="I657">
        <f>VALUE(LEFT($G657,1))*VALUE(LEFT($H657,1))</f>
        <v/>
      </c>
      <c r="J657">
        <f>IF($I657&gt;=20,"Critical",IF($I657&gt;=15,"High",IF($I657&gt;=10,"Medium",IF($I657&gt;=5,"Low",IF($I657&gt;0,"Very Low","")))))</f>
        <v/>
      </c>
      <c r="K657" s="5" t="n"/>
      <c r="O657">
        <f>VALUE(LEFT($M657,1))*VALUE(LEFT($N657,1))</f>
        <v/>
      </c>
      <c r="P657">
        <f>IF($O657&gt;=20,"Critical",IF($O657&gt;=15,"High",IF($O657&gt;=10,"Medium",IF($O657&gt;=5,"Low",IF($O657&gt;0,"Very Low","")))))</f>
        <v/>
      </c>
      <c r="S657" s="5" t="n"/>
      <c r="V657" s="5" t="n"/>
      <c r="W657" s="6" t="n"/>
      <c r="X657" s="6" t="n"/>
      <c r="Z657" s="5" t="n"/>
    </row>
    <row r="658">
      <c r="D658" s="5" t="n"/>
      <c r="E658" s="5" t="n"/>
      <c r="F658" s="5" t="n"/>
      <c r="I658">
        <f>VALUE(LEFT($G658,1))*VALUE(LEFT($H658,1))</f>
        <v/>
      </c>
      <c r="J658">
        <f>IF($I658&gt;=20,"Critical",IF($I658&gt;=15,"High",IF($I658&gt;=10,"Medium",IF($I658&gt;=5,"Low",IF($I658&gt;0,"Very Low","")))))</f>
        <v/>
      </c>
      <c r="K658" s="5" t="n"/>
      <c r="O658">
        <f>VALUE(LEFT($M658,1))*VALUE(LEFT($N658,1))</f>
        <v/>
      </c>
      <c r="P658">
        <f>IF($O658&gt;=20,"Critical",IF($O658&gt;=15,"High",IF($O658&gt;=10,"Medium",IF($O658&gt;=5,"Low",IF($O658&gt;0,"Very Low","")))))</f>
        <v/>
      </c>
      <c r="S658" s="5" t="n"/>
      <c r="V658" s="5" t="n"/>
      <c r="W658" s="6" t="n"/>
      <c r="X658" s="6" t="n"/>
      <c r="Z658" s="5" t="n"/>
    </row>
    <row r="659">
      <c r="D659" s="5" t="n"/>
      <c r="E659" s="5" t="n"/>
      <c r="F659" s="5" t="n"/>
      <c r="I659">
        <f>VALUE(LEFT($G659,1))*VALUE(LEFT($H659,1))</f>
        <v/>
      </c>
      <c r="J659">
        <f>IF($I659&gt;=20,"Critical",IF($I659&gt;=15,"High",IF($I659&gt;=10,"Medium",IF($I659&gt;=5,"Low",IF($I659&gt;0,"Very Low","")))))</f>
        <v/>
      </c>
      <c r="K659" s="5" t="n"/>
      <c r="O659">
        <f>VALUE(LEFT($M659,1))*VALUE(LEFT($N659,1))</f>
        <v/>
      </c>
      <c r="P659">
        <f>IF($O659&gt;=20,"Critical",IF($O659&gt;=15,"High",IF($O659&gt;=10,"Medium",IF($O659&gt;=5,"Low",IF($O659&gt;0,"Very Low","")))))</f>
        <v/>
      </c>
      <c r="S659" s="5" t="n"/>
      <c r="V659" s="5" t="n"/>
      <c r="W659" s="6" t="n"/>
      <c r="X659" s="6" t="n"/>
      <c r="Z659" s="5" t="n"/>
    </row>
    <row r="660">
      <c r="D660" s="5" t="n"/>
      <c r="E660" s="5" t="n"/>
      <c r="F660" s="5" t="n"/>
      <c r="I660">
        <f>VALUE(LEFT($G660,1))*VALUE(LEFT($H660,1))</f>
        <v/>
      </c>
      <c r="J660">
        <f>IF($I660&gt;=20,"Critical",IF($I660&gt;=15,"High",IF($I660&gt;=10,"Medium",IF($I660&gt;=5,"Low",IF($I660&gt;0,"Very Low","")))))</f>
        <v/>
      </c>
      <c r="K660" s="5" t="n"/>
      <c r="O660">
        <f>VALUE(LEFT($M660,1))*VALUE(LEFT($N660,1))</f>
        <v/>
      </c>
      <c r="P660">
        <f>IF($O660&gt;=20,"Critical",IF($O660&gt;=15,"High",IF($O660&gt;=10,"Medium",IF($O660&gt;=5,"Low",IF($O660&gt;0,"Very Low","")))))</f>
        <v/>
      </c>
      <c r="S660" s="5" t="n"/>
      <c r="V660" s="5" t="n"/>
      <c r="W660" s="6" t="n"/>
      <c r="X660" s="6" t="n"/>
      <c r="Z660" s="5" t="n"/>
    </row>
    <row r="661">
      <c r="D661" s="5" t="n"/>
      <c r="E661" s="5" t="n"/>
      <c r="F661" s="5" t="n"/>
      <c r="I661">
        <f>VALUE(LEFT($G661,1))*VALUE(LEFT($H661,1))</f>
        <v/>
      </c>
      <c r="J661">
        <f>IF($I661&gt;=20,"Critical",IF($I661&gt;=15,"High",IF($I661&gt;=10,"Medium",IF($I661&gt;=5,"Low",IF($I661&gt;0,"Very Low","")))))</f>
        <v/>
      </c>
      <c r="K661" s="5" t="n"/>
      <c r="O661">
        <f>VALUE(LEFT($M661,1))*VALUE(LEFT($N661,1))</f>
        <v/>
      </c>
      <c r="P661">
        <f>IF($O661&gt;=20,"Critical",IF($O661&gt;=15,"High",IF($O661&gt;=10,"Medium",IF($O661&gt;=5,"Low",IF($O661&gt;0,"Very Low","")))))</f>
        <v/>
      </c>
      <c r="S661" s="5" t="n"/>
      <c r="V661" s="5" t="n"/>
      <c r="W661" s="6" t="n"/>
      <c r="X661" s="6" t="n"/>
      <c r="Z661" s="5" t="n"/>
    </row>
    <row r="662">
      <c r="D662" s="5" t="n"/>
      <c r="E662" s="5" t="n"/>
      <c r="F662" s="5" t="n"/>
      <c r="I662">
        <f>VALUE(LEFT($G662,1))*VALUE(LEFT($H662,1))</f>
        <v/>
      </c>
      <c r="J662">
        <f>IF($I662&gt;=20,"Critical",IF($I662&gt;=15,"High",IF($I662&gt;=10,"Medium",IF($I662&gt;=5,"Low",IF($I662&gt;0,"Very Low","")))))</f>
        <v/>
      </c>
      <c r="K662" s="5" t="n"/>
      <c r="O662">
        <f>VALUE(LEFT($M662,1))*VALUE(LEFT($N662,1))</f>
        <v/>
      </c>
      <c r="P662">
        <f>IF($O662&gt;=20,"Critical",IF($O662&gt;=15,"High",IF($O662&gt;=10,"Medium",IF($O662&gt;=5,"Low",IF($O662&gt;0,"Very Low","")))))</f>
        <v/>
      </c>
      <c r="S662" s="5" t="n"/>
      <c r="V662" s="5" t="n"/>
      <c r="W662" s="6" t="n"/>
      <c r="X662" s="6" t="n"/>
      <c r="Z662" s="5" t="n"/>
    </row>
    <row r="663">
      <c r="D663" s="5" t="n"/>
      <c r="E663" s="5" t="n"/>
      <c r="F663" s="5" t="n"/>
      <c r="I663">
        <f>VALUE(LEFT($G663,1))*VALUE(LEFT($H663,1))</f>
        <v/>
      </c>
      <c r="J663">
        <f>IF($I663&gt;=20,"Critical",IF($I663&gt;=15,"High",IF($I663&gt;=10,"Medium",IF($I663&gt;=5,"Low",IF($I663&gt;0,"Very Low","")))))</f>
        <v/>
      </c>
      <c r="K663" s="5" t="n"/>
      <c r="O663">
        <f>VALUE(LEFT($M663,1))*VALUE(LEFT($N663,1))</f>
        <v/>
      </c>
      <c r="P663">
        <f>IF($O663&gt;=20,"Critical",IF($O663&gt;=15,"High",IF($O663&gt;=10,"Medium",IF($O663&gt;=5,"Low",IF($O663&gt;0,"Very Low","")))))</f>
        <v/>
      </c>
      <c r="S663" s="5" t="n"/>
      <c r="V663" s="5" t="n"/>
      <c r="W663" s="6" t="n"/>
      <c r="X663" s="6" t="n"/>
      <c r="Z663" s="5" t="n"/>
    </row>
    <row r="664">
      <c r="D664" s="5" t="n"/>
      <c r="E664" s="5" t="n"/>
      <c r="F664" s="5" t="n"/>
      <c r="I664">
        <f>VALUE(LEFT($G664,1))*VALUE(LEFT($H664,1))</f>
        <v/>
      </c>
      <c r="J664">
        <f>IF($I664&gt;=20,"Critical",IF($I664&gt;=15,"High",IF($I664&gt;=10,"Medium",IF($I664&gt;=5,"Low",IF($I664&gt;0,"Very Low","")))))</f>
        <v/>
      </c>
      <c r="K664" s="5" t="n"/>
      <c r="O664">
        <f>VALUE(LEFT($M664,1))*VALUE(LEFT($N664,1))</f>
        <v/>
      </c>
      <c r="P664">
        <f>IF($O664&gt;=20,"Critical",IF($O664&gt;=15,"High",IF($O664&gt;=10,"Medium",IF($O664&gt;=5,"Low",IF($O664&gt;0,"Very Low","")))))</f>
        <v/>
      </c>
      <c r="S664" s="5" t="n"/>
      <c r="V664" s="5" t="n"/>
      <c r="W664" s="6" t="n"/>
      <c r="X664" s="6" t="n"/>
      <c r="Z664" s="5" t="n"/>
    </row>
    <row r="665">
      <c r="D665" s="5" t="n"/>
      <c r="E665" s="5" t="n"/>
      <c r="F665" s="5" t="n"/>
      <c r="I665">
        <f>VALUE(LEFT($G665,1))*VALUE(LEFT($H665,1))</f>
        <v/>
      </c>
      <c r="J665">
        <f>IF($I665&gt;=20,"Critical",IF($I665&gt;=15,"High",IF($I665&gt;=10,"Medium",IF($I665&gt;=5,"Low",IF($I665&gt;0,"Very Low","")))))</f>
        <v/>
      </c>
      <c r="K665" s="5" t="n"/>
      <c r="O665">
        <f>VALUE(LEFT($M665,1))*VALUE(LEFT($N665,1))</f>
        <v/>
      </c>
      <c r="P665">
        <f>IF($O665&gt;=20,"Critical",IF($O665&gt;=15,"High",IF($O665&gt;=10,"Medium",IF($O665&gt;=5,"Low",IF($O665&gt;0,"Very Low","")))))</f>
        <v/>
      </c>
      <c r="S665" s="5" t="n"/>
      <c r="V665" s="5" t="n"/>
      <c r="W665" s="6" t="n"/>
      <c r="X665" s="6" t="n"/>
      <c r="Z665" s="5" t="n"/>
    </row>
    <row r="666">
      <c r="D666" s="5" t="n"/>
      <c r="E666" s="5" t="n"/>
      <c r="F666" s="5" t="n"/>
      <c r="I666">
        <f>VALUE(LEFT($G666,1))*VALUE(LEFT($H666,1))</f>
        <v/>
      </c>
      <c r="J666">
        <f>IF($I666&gt;=20,"Critical",IF($I666&gt;=15,"High",IF($I666&gt;=10,"Medium",IF($I666&gt;=5,"Low",IF($I666&gt;0,"Very Low","")))))</f>
        <v/>
      </c>
      <c r="K666" s="5" t="n"/>
      <c r="O666">
        <f>VALUE(LEFT($M666,1))*VALUE(LEFT($N666,1))</f>
        <v/>
      </c>
      <c r="P666">
        <f>IF($O666&gt;=20,"Critical",IF($O666&gt;=15,"High",IF($O666&gt;=10,"Medium",IF($O666&gt;=5,"Low",IF($O666&gt;0,"Very Low","")))))</f>
        <v/>
      </c>
      <c r="S666" s="5" t="n"/>
      <c r="V666" s="5" t="n"/>
      <c r="W666" s="6" t="n"/>
      <c r="X666" s="6" t="n"/>
      <c r="Z666" s="5" t="n"/>
    </row>
    <row r="667">
      <c r="D667" s="5" t="n"/>
      <c r="E667" s="5" t="n"/>
      <c r="F667" s="5" t="n"/>
      <c r="I667">
        <f>VALUE(LEFT($G667,1))*VALUE(LEFT($H667,1))</f>
        <v/>
      </c>
      <c r="J667">
        <f>IF($I667&gt;=20,"Critical",IF($I667&gt;=15,"High",IF($I667&gt;=10,"Medium",IF($I667&gt;=5,"Low",IF($I667&gt;0,"Very Low","")))))</f>
        <v/>
      </c>
      <c r="K667" s="5" t="n"/>
      <c r="O667">
        <f>VALUE(LEFT($M667,1))*VALUE(LEFT($N667,1))</f>
        <v/>
      </c>
      <c r="P667">
        <f>IF($O667&gt;=20,"Critical",IF($O667&gt;=15,"High",IF($O667&gt;=10,"Medium",IF($O667&gt;=5,"Low",IF($O667&gt;0,"Very Low","")))))</f>
        <v/>
      </c>
      <c r="S667" s="5" t="n"/>
      <c r="V667" s="5" t="n"/>
      <c r="W667" s="6" t="n"/>
      <c r="X667" s="6" t="n"/>
      <c r="Z667" s="5" t="n"/>
    </row>
    <row r="668">
      <c r="D668" s="5" t="n"/>
      <c r="E668" s="5" t="n"/>
      <c r="F668" s="5" t="n"/>
      <c r="I668">
        <f>VALUE(LEFT($G668,1))*VALUE(LEFT($H668,1))</f>
        <v/>
      </c>
      <c r="J668">
        <f>IF($I668&gt;=20,"Critical",IF($I668&gt;=15,"High",IF($I668&gt;=10,"Medium",IF($I668&gt;=5,"Low",IF($I668&gt;0,"Very Low","")))))</f>
        <v/>
      </c>
      <c r="K668" s="5" t="n"/>
      <c r="O668">
        <f>VALUE(LEFT($M668,1))*VALUE(LEFT($N668,1))</f>
        <v/>
      </c>
      <c r="P668">
        <f>IF($O668&gt;=20,"Critical",IF($O668&gt;=15,"High",IF($O668&gt;=10,"Medium",IF($O668&gt;=5,"Low",IF($O668&gt;0,"Very Low","")))))</f>
        <v/>
      </c>
      <c r="S668" s="5" t="n"/>
      <c r="V668" s="5" t="n"/>
      <c r="W668" s="6" t="n"/>
      <c r="X668" s="6" t="n"/>
      <c r="Z668" s="5" t="n"/>
    </row>
    <row r="669">
      <c r="D669" s="5" t="n"/>
      <c r="E669" s="5" t="n"/>
      <c r="F669" s="5" t="n"/>
      <c r="I669">
        <f>VALUE(LEFT($G669,1))*VALUE(LEFT($H669,1))</f>
        <v/>
      </c>
      <c r="J669">
        <f>IF($I669&gt;=20,"Critical",IF($I669&gt;=15,"High",IF($I669&gt;=10,"Medium",IF($I669&gt;=5,"Low",IF($I669&gt;0,"Very Low","")))))</f>
        <v/>
      </c>
      <c r="K669" s="5" t="n"/>
      <c r="O669">
        <f>VALUE(LEFT($M669,1))*VALUE(LEFT($N669,1))</f>
        <v/>
      </c>
      <c r="P669">
        <f>IF($O669&gt;=20,"Critical",IF($O669&gt;=15,"High",IF($O669&gt;=10,"Medium",IF($O669&gt;=5,"Low",IF($O669&gt;0,"Very Low","")))))</f>
        <v/>
      </c>
      <c r="S669" s="5" t="n"/>
      <c r="V669" s="5" t="n"/>
      <c r="W669" s="6" t="n"/>
      <c r="X669" s="6" t="n"/>
      <c r="Z669" s="5" t="n"/>
    </row>
    <row r="670">
      <c r="D670" s="5" t="n"/>
      <c r="E670" s="5" t="n"/>
      <c r="F670" s="5" t="n"/>
      <c r="I670">
        <f>VALUE(LEFT($G670,1))*VALUE(LEFT($H670,1))</f>
        <v/>
      </c>
      <c r="J670">
        <f>IF($I670&gt;=20,"Critical",IF($I670&gt;=15,"High",IF($I670&gt;=10,"Medium",IF($I670&gt;=5,"Low",IF($I670&gt;0,"Very Low","")))))</f>
        <v/>
      </c>
      <c r="K670" s="5" t="n"/>
      <c r="O670">
        <f>VALUE(LEFT($M670,1))*VALUE(LEFT($N670,1))</f>
        <v/>
      </c>
      <c r="P670">
        <f>IF($O670&gt;=20,"Critical",IF($O670&gt;=15,"High",IF($O670&gt;=10,"Medium",IF($O670&gt;=5,"Low",IF($O670&gt;0,"Very Low","")))))</f>
        <v/>
      </c>
      <c r="S670" s="5" t="n"/>
      <c r="V670" s="5" t="n"/>
      <c r="W670" s="6" t="n"/>
      <c r="X670" s="6" t="n"/>
      <c r="Z670" s="5" t="n"/>
    </row>
    <row r="671">
      <c r="D671" s="5" t="n"/>
      <c r="E671" s="5" t="n"/>
      <c r="F671" s="5" t="n"/>
      <c r="I671">
        <f>VALUE(LEFT($G671,1))*VALUE(LEFT($H671,1))</f>
        <v/>
      </c>
      <c r="J671">
        <f>IF($I671&gt;=20,"Critical",IF($I671&gt;=15,"High",IF($I671&gt;=10,"Medium",IF($I671&gt;=5,"Low",IF($I671&gt;0,"Very Low","")))))</f>
        <v/>
      </c>
      <c r="K671" s="5" t="n"/>
      <c r="O671">
        <f>VALUE(LEFT($M671,1))*VALUE(LEFT($N671,1))</f>
        <v/>
      </c>
      <c r="P671">
        <f>IF($O671&gt;=20,"Critical",IF($O671&gt;=15,"High",IF($O671&gt;=10,"Medium",IF($O671&gt;=5,"Low",IF($O671&gt;0,"Very Low","")))))</f>
        <v/>
      </c>
      <c r="S671" s="5" t="n"/>
      <c r="V671" s="5" t="n"/>
      <c r="W671" s="6" t="n"/>
      <c r="X671" s="6" t="n"/>
      <c r="Z671" s="5" t="n"/>
    </row>
    <row r="672">
      <c r="D672" s="5" t="n"/>
      <c r="E672" s="5" t="n"/>
      <c r="F672" s="5" t="n"/>
      <c r="I672">
        <f>VALUE(LEFT($G672,1))*VALUE(LEFT($H672,1))</f>
        <v/>
      </c>
      <c r="J672">
        <f>IF($I672&gt;=20,"Critical",IF($I672&gt;=15,"High",IF($I672&gt;=10,"Medium",IF($I672&gt;=5,"Low",IF($I672&gt;0,"Very Low","")))))</f>
        <v/>
      </c>
      <c r="K672" s="5" t="n"/>
      <c r="O672">
        <f>VALUE(LEFT($M672,1))*VALUE(LEFT($N672,1))</f>
        <v/>
      </c>
      <c r="P672">
        <f>IF($O672&gt;=20,"Critical",IF($O672&gt;=15,"High",IF($O672&gt;=10,"Medium",IF($O672&gt;=5,"Low",IF($O672&gt;0,"Very Low","")))))</f>
        <v/>
      </c>
      <c r="S672" s="5" t="n"/>
      <c r="V672" s="5" t="n"/>
      <c r="W672" s="6" t="n"/>
      <c r="X672" s="6" t="n"/>
      <c r="Z672" s="5" t="n"/>
    </row>
    <row r="673">
      <c r="D673" s="5" t="n"/>
      <c r="E673" s="5" t="n"/>
      <c r="F673" s="5" t="n"/>
      <c r="I673">
        <f>VALUE(LEFT($G673,1))*VALUE(LEFT($H673,1))</f>
        <v/>
      </c>
      <c r="J673">
        <f>IF($I673&gt;=20,"Critical",IF($I673&gt;=15,"High",IF($I673&gt;=10,"Medium",IF($I673&gt;=5,"Low",IF($I673&gt;0,"Very Low","")))))</f>
        <v/>
      </c>
      <c r="K673" s="5" t="n"/>
      <c r="O673">
        <f>VALUE(LEFT($M673,1))*VALUE(LEFT($N673,1))</f>
        <v/>
      </c>
      <c r="P673">
        <f>IF($O673&gt;=20,"Critical",IF($O673&gt;=15,"High",IF($O673&gt;=10,"Medium",IF($O673&gt;=5,"Low",IF($O673&gt;0,"Very Low","")))))</f>
        <v/>
      </c>
      <c r="S673" s="5" t="n"/>
      <c r="V673" s="5" t="n"/>
      <c r="W673" s="6" t="n"/>
      <c r="X673" s="6" t="n"/>
      <c r="Z673" s="5" t="n"/>
    </row>
    <row r="674">
      <c r="D674" s="5" t="n"/>
      <c r="E674" s="5" t="n"/>
      <c r="F674" s="5" t="n"/>
      <c r="I674">
        <f>VALUE(LEFT($G674,1))*VALUE(LEFT($H674,1))</f>
        <v/>
      </c>
      <c r="J674">
        <f>IF($I674&gt;=20,"Critical",IF($I674&gt;=15,"High",IF($I674&gt;=10,"Medium",IF($I674&gt;=5,"Low",IF($I674&gt;0,"Very Low","")))))</f>
        <v/>
      </c>
      <c r="K674" s="5" t="n"/>
      <c r="O674">
        <f>VALUE(LEFT($M674,1))*VALUE(LEFT($N674,1))</f>
        <v/>
      </c>
      <c r="P674">
        <f>IF($O674&gt;=20,"Critical",IF($O674&gt;=15,"High",IF($O674&gt;=10,"Medium",IF($O674&gt;=5,"Low",IF($O674&gt;0,"Very Low","")))))</f>
        <v/>
      </c>
      <c r="S674" s="5" t="n"/>
      <c r="V674" s="5" t="n"/>
      <c r="W674" s="6" t="n"/>
      <c r="X674" s="6" t="n"/>
      <c r="Z674" s="5" t="n"/>
    </row>
    <row r="675">
      <c r="D675" s="5" t="n"/>
      <c r="E675" s="5" t="n"/>
      <c r="F675" s="5" t="n"/>
      <c r="I675">
        <f>VALUE(LEFT($G675,1))*VALUE(LEFT($H675,1))</f>
        <v/>
      </c>
      <c r="J675">
        <f>IF($I675&gt;=20,"Critical",IF($I675&gt;=15,"High",IF($I675&gt;=10,"Medium",IF($I675&gt;=5,"Low",IF($I675&gt;0,"Very Low","")))))</f>
        <v/>
      </c>
      <c r="K675" s="5" t="n"/>
      <c r="O675">
        <f>VALUE(LEFT($M675,1))*VALUE(LEFT($N675,1))</f>
        <v/>
      </c>
      <c r="P675">
        <f>IF($O675&gt;=20,"Critical",IF($O675&gt;=15,"High",IF($O675&gt;=10,"Medium",IF($O675&gt;=5,"Low",IF($O675&gt;0,"Very Low","")))))</f>
        <v/>
      </c>
      <c r="S675" s="5" t="n"/>
      <c r="V675" s="5" t="n"/>
      <c r="W675" s="6" t="n"/>
      <c r="X675" s="6" t="n"/>
      <c r="Z675" s="5" t="n"/>
    </row>
    <row r="676">
      <c r="D676" s="5" t="n"/>
      <c r="E676" s="5" t="n"/>
      <c r="F676" s="5" t="n"/>
      <c r="I676">
        <f>VALUE(LEFT($G676,1))*VALUE(LEFT($H676,1))</f>
        <v/>
      </c>
      <c r="J676">
        <f>IF($I676&gt;=20,"Critical",IF($I676&gt;=15,"High",IF($I676&gt;=10,"Medium",IF($I676&gt;=5,"Low",IF($I676&gt;0,"Very Low","")))))</f>
        <v/>
      </c>
      <c r="K676" s="5" t="n"/>
      <c r="O676">
        <f>VALUE(LEFT($M676,1))*VALUE(LEFT($N676,1))</f>
        <v/>
      </c>
      <c r="P676">
        <f>IF($O676&gt;=20,"Critical",IF($O676&gt;=15,"High",IF($O676&gt;=10,"Medium",IF($O676&gt;=5,"Low",IF($O676&gt;0,"Very Low","")))))</f>
        <v/>
      </c>
      <c r="S676" s="5" t="n"/>
      <c r="V676" s="5" t="n"/>
      <c r="W676" s="6" t="n"/>
      <c r="X676" s="6" t="n"/>
      <c r="Z676" s="5" t="n"/>
    </row>
    <row r="677">
      <c r="D677" s="5" t="n"/>
      <c r="E677" s="5" t="n"/>
      <c r="F677" s="5" t="n"/>
      <c r="I677">
        <f>VALUE(LEFT($G677,1))*VALUE(LEFT($H677,1))</f>
        <v/>
      </c>
      <c r="J677">
        <f>IF($I677&gt;=20,"Critical",IF($I677&gt;=15,"High",IF($I677&gt;=10,"Medium",IF($I677&gt;=5,"Low",IF($I677&gt;0,"Very Low","")))))</f>
        <v/>
      </c>
      <c r="K677" s="5" t="n"/>
      <c r="O677">
        <f>VALUE(LEFT($M677,1))*VALUE(LEFT($N677,1))</f>
        <v/>
      </c>
      <c r="P677">
        <f>IF($O677&gt;=20,"Critical",IF($O677&gt;=15,"High",IF($O677&gt;=10,"Medium",IF($O677&gt;=5,"Low",IF($O677&gt;0,"Very Low","")))))</f>
        <v/>
      </c>
      <c r="S677" s="5" t="n"/>
      <c r="V677" s="5" t="n"/>
      <c r="W677" s="6" t="n"/>
      <c r="X677" s="6" t="n"/>
      <c r="Z677" s="5" t="n"/>
    </row>
    <row r="678">
      <c r="D678" s="5" t="n"/>
      <c r="E678" s="5" t="n"/>
      <c r="F678" s="5" t="n"/>
      <c r="I678">
        <f>VALUE(LEFT($G678,1))*VALUE(LEFT($H678,1))</f>
        <v/>
      </c>
      <c r="J678">
        <f>IF($I678&gt;=20,"Critical",IF($I678&gt;=15,"High",IF($I678&gt;=10,"Medium",IF($I678&gt;=5,"Low",IF($I678&gt;0,"Very Low","")))))</f>
        <v/>
      </c>
      <c r="K678" s="5" t="n"/>
      <c r="O678">
        <f>VALUE(LEFT($M678,1))*VALUE(LEFT($N678,1))</f>
        <v/>
      </c>
      <c r="P678">
        <f>IF($O678&gt;=20,"Critical",IF($O678&gt;=15,"High",IF($O678&gt;=10,"Medium",IF($O678&gt;=5,"Low",IF($O678&gt;0,"Very Low","")))))</f>
        <v/>
      </c>
      <c r="S678" s="5" t="n"/>
      <c r="V678" s="5" t="n"/>
      <c r="W678" s="6" t="n"/>
      <c r="X678" s="6" t="n"/>
      <c r="Z678" s="5" t="n"/>
    </row>
    <row r="679">
      <c r="D679" s="5" t="n"/>
      <c r="E679" s="5" t="n"/>
      <c r="F679" s="5" t="n"/>
      <c r="I679">
        <f>VALUE(LEFT($G679,1))*VALUE(LEFT($H679,1))</f>
        <v/>
      </c>
      <c r="J679">
        <f>IF($I679&gt;=20,"Critical",IF($I679&gt;=15,"High",IF($I679&gt;=10,"Medium",IF($I679&gt;=5,"Low",IF($I679&gt;0,"Very Low","")))))</f>
        <v/>
      </c>
      <c r="K679" s="5" t="n"/>
      <c r="O679">
        <f>VALUE(LEFT($M679,1))*VALUE(LEFT($N679,1))</f>
        <v/>
      </c>
      <c r="P679">
        <f>IF($O679&gt;=20,"Critical",IF($O679&gt;=15,"High",IF($O679&gt;=10,"Medium",IF($O679&gt;=5,"Low",IF($O679&gt;0,"Very Low","")))))</f>
        <v/>
      </c>
      <c r="S679" s="5" t="n"/>
      <c r="V679" s="5" t="n"/>
      <c r="W679" s="6" t="n"/>
      <c r="X679" s="6" t="n"/>
      <c r="Z679" s="5" t="n"/>
    </row>
    <row r="680">
      <c r="D680" s="5" t="n"/>
      <c r="E680" s="5" t="n"/>
      <c r="F680" s="5" t="n"/>
      <c r="I680">
        <f>VALUE(LEFT($G680,1))*VALUE(LEFT($H680,1))</f>
        <v/>
      </c>
      <c r="J680">
        <f>IF($I680&gt;=20,"Critical",IF($I680&gt;=15,"High",IF($I680&gt;=10,"Medium",IF($I680&gt;=5,"Low",IF($I680&gt;0,"Very Low","")))))</f>
        <v/>
      </c>
      <c r="K680" s="5" t="n"/>
      <c r="O680">
        <f>VALUE(LEFT($M680,1))*VALUE(LEFT($N680,1))</f>
        <v/>
      </c>
      <c r="P680">
        <f>IF($O680&gt;=20,"Critical",IF($O680&gt;=15,"High",IF($O680&gt;=10,"Medium",IF($O680&gt;=5,"Low",IF($O680&gt;0,"Very Low","")))))</f>
        <v/>
      </c>
      <c r="S680" s="5" t="n"/>
      <c r="V680" s="5" t="n"/>
      <c r="W680" s="6" t="n"/>
      <c r="X680" s="6" t="n"/>
      <c r="Z680" s="5" t="n"/>
    </row>
    <row r="681">
      <c r="D681" s="5" t="n"/>
      <c r="E681" s="5" t="n"/>
      <c r="F681" s="5" t="n"/>
      <c r="I681">
        <f>VALUE(LEFT($G681,1))*VALUE(LEFT($H681,1))</f>
        <v/>
      </c>
      <c r="J681">
        <f>IF($I681&gt;=20,"Critical",IF($I681&gt;=15,"High",IF($I681&gt;=10,"Medium",IF($I681&gt;=5,"Low",IF($I681&gt;0,"Very Low","")))))</f>
        <v/>
      </c>
      <c r="K681" s="5" t="n"/>
      <c r="O681">
        <f>VALUE(LEFT($M681,1))*VALUE(LEFT($N681,1))</f>
        <v/>
      </c>
      <c r="P681">
        <f>IF($O681&gt;=20,"Critical",IF($O681&gt;=15,"High",IF($O681&gt;=10,"Medium",IF($O681&gt;=5,"Low",IF($O681&gt;0,"Very Low","")))))</f>
        <v/>
      </c>
      <c r="S681" s="5" t="n"/>
      <c r="V681" s="5" t="n"/>
      <c r="W681" s="6" t="n"/>
      <c r="X681" s="6" t="n"/>
      <c r="Z681" s="5" t="n"/>
    </row>
    <row r="682">
      <c r="D682" s="5" t="n"/>
      <c r="E682" s="5" t="n"/>
      <c r="F682" s="5" t="n"/>
      <c r="I682">
        <f>VALUE(LEFT($G682,1))*VALUE(LEFT($H682,1))</f>
        <v/>
      </c>
      <c r="J682">
        <f>IF($I682&gt;=20,"Critical",IF($I682&gt;=15,"High",IF($I682&gt;=10,"Medium",IF($I682&gt;=5,"Low",IF($I682&gt;0,"Very Low","")))))</f>
        <v/>
      </c>
      <c r="K682" s="5" t="n"/>
      <c r="O682">
        <f>VALUE(LEFT($M682,1))*VALUE(LEFT($N682,1))</f>
        <v/>
      </c>
      <c r="P682">
        <f>IF($O682&gt;=20,"Critical",IF($O682&gt;=15,"High",IF($O682&gt;=10,"Medium",IF($O682&gt;=5,"Low",IF($O682&gt;0,"Very Low","")))))</f>
        <v/>
      </c>
      <c r="S682" s="5" t="n"/>
      <c r="V682" s="5" t="n"/>
      <c r="W682" s="6" t="n"/>
      <c r="X682" s="6" t="n"/>
      <c r="Z682" s="5" t="n"/>
    </row>
    <row r="683">
      <c r="D683" s="5" t="n"/>
      <c r="E683" s="5" t="n"/>
      <c r="F683" s="5" t="n"/>
      <c r="I683">
        <f>VALUE(LEFT($G683,1))*VALUE(LEFT($H683,1))</f>
        <v/>
      </c>
      <c r="J683">
        <f>IF($I683&gt;=20,"Critical",IF($I683&gt;=15,"High",IF($I683&gt;=10,"Medium",IF($I683&gt;=5,"Low",IF($I683&gt;0,"Very Low","")))))</f>
        <v/>
      </c>
      <c r="K683" s="5" t="n"/>
      <c r="O683">
        <f>VALUE(LEFT($M683,1))*VALUE(LEFT($N683,1))</f>
        <v/>
      </c>
      <c r="P683">
        <f>IF($O683&gt;=20,"Critical",IF($O683&gt;=15,"High",IF($O683&gt;=10,"Medium",IF($O683&gt;=5,"Low",IF($O683&gt;0,"Very Low","")))))</f>
        <v/>
      </c>
      <c r="S683" s="5" t="n"/>
      <c r="V683" s="5" t="n"/>
      <c r="W683" s="6" t="n"/>
      <c r="X683" s="6" t="n"/>
      <c r="Z683" s="5" t="n"/>
    </row>
    <row r="684">
      <c r="D684" s="5" t="n"/>
      <c r="E684" s="5" t="n"/>
      <c r="F684" s="5" t="n"/>
      <c r="I684">
        <f>VALUE(LEFT($G684,1))*VALUE(LEFT($H684,1))</f>
        <v/>
      </c>
      <c r="J684">
        <f>IF($I684&gt;=20,"Critical",IF($I684&gt;=15,"High",IF($I684&gt;=10,"Medium",IF($I684&gt;=5,"Low",IF($I684&gt;0,"Very Low","")))))</f>
        <v/>
      </c>
      <c r="K684" s="5" t="n"/>
      <c r="O684">
        <f>VALUE(LEFT($M684,1))*VALUE(LEFT($N684,1))</f>
        <v/>
      </c>
      <c r="P684">
        <f>IF($O684&gt;=20,"Critical",IF($O684&gt;=15,"High",IF($O684&gt;=10,"Medium",IF($O684&gt;=5,"Low",IF($O684&gt;0,"Very Low","")))))</f>
        <v/>
      </c>
      <c r="S684" s="5" t="n"/>
      <c r="V684" s="5" t="n"/>
      <c r="W684" s="6" t="n"/>
      <c r="X684" s="6" t="n"/>
      <c r="Z684" s="5" t="n"/>
    </row>
    <row r="685">
      <c r="D685" s="5" t="n"/>
      <c r="E685" s="5" t="n"/>
      <c r="F685" s="5" t="n"/>
      <c r="I685">
        <f>VALUE(LEFT($G685,1))*VALUE(LEFT($H685,1))</f>
        <v/>
      </c>
      <c r="J685">
        <f>IF($I685&gt;=20,"Critical",IF($I685&gt;=15,"High",IF($I685&gt;=10,"Medium",IF($I685&gt;=5,"Low",IF($I685&gt;0,"Very Low","")))))</f>
        <v/>
      </c>
      <c r="K685" s="5" t="n"/>
      <c r="O685">
        <f>VALUE(LEFT($M685,1))*VALUE(LEFT($N685,1))</f>
        <v/>
      </c>
      <c r="P685">
        <f>IF($O685&gt;=20,"Critical",IF($O685&gt;=15,"High",IF($O685&gt;=10,"Medium",IF($O685&gt;=5,"Low",IF($O685&gt;0,"Very Low","")))))</f>
        <v/>
      </c>
      <c r="S685" s="5" t="n"/>
      <c r="V685" s="5" t="n"/>
      <c r="W685" s="6" t="n"/>
      <c r="X685" s="6" t="n"/>
      <c r="Z685" s="5" t="n"/>
    </row>
    <row r="686">
      <c r="D686" s="5" t="n"/>
      <c r="E686" s="5" t="n"/>
      <c r="F686" s="5" t="n"/>
      <c r="I686">
        <f>VALUE(LEFT($G686,1))*VALUE(LEFT($H686,1))</f>
        <v/>
      </c>
      <c r="J686">
        <f>IF($I686&gt;=20,"Critical",IF($I686&gt;=15,"High",IF($I686&gt;=10,"Medium",IF($I686&gt;=5,"Low",IF($I686&gt;0,"Very Low","")))))</f>
        <v/>
      </c>
      <c r="K686" s="5" t="n"/>
      <c r="O686">
        <f>VALUE(LEFT($M686,1))*VALUE(LEFT($N686,1))</f>
        <v/>
      </c>
      <c r="P686">
        <f>IF($O686&gt;=20,"Critical",IF($O686&gt;=15,"High",IF($O686&gt;=10,"Medium",IF($O686&gt;=5,"Low",IF($O686&gt;0,"Very Low","")))))</f>
        <v/>
      </c>
      <c r="S686" s="5" t="n"/>
      <c r="V686" s="5" t="n"/>
      <c r="W686" s="6" t="n"/>
      <c r="X686" s="6" t="n"/>
      <c r="Z686" s="5" t="n"/>
    </row>
    <row r="687">
      <c r="D687" s="5" t="n"/>
      <c r="E687" s="5" t="n"/>
      <c r="F687" s="5" t="n"/>
      <c r="I687">
        <f>VALUE(LEFT($G687,1))*VALUE(LEFT($H687,1))</f>
        <v/>
      </c>
      <c r="J687">
        <f>IF($I687&gt;=20,"Critical",IF($I687&gt;=15,"High",IF($I687&gt;=10,"Medium",IF($I687&gt;=5,"Low",IF($I687&gt;0,"Very Low","")))))</f>
        <v/>
      </c>
      <c r="K687" s="5" t="n"/>
      <c r="O687">
        <f>VALUE(LEFT($M687,1))*VALUE(LEFT($N687,1))</f>
        <v/>
      </c>
      <c r="P687">
        <f>IF($O687&gt;=20,"Critical",IF($O687&gt;=15,"High",IF($O687&gt;=10,"Medium",IF($O687&gt;=5,"Low",IF($O687&gt;0,"Very Low","")))))</f>
        <v/>
      </c>
      <c r="S687" s="5" t="n"/>
      <c r="V687" s="5" t="n"/>
      <c r="W687" s="6" t="n"/>
      <c r="X687" s="6" t="n"/>
      <c r="Z687" s="5" t="n"/>
    </row>
    <row r="688">
      <c r="D688" s="5" t="n"/>
      <c r="E688" s="5" t="n"/>
      <c r="F688" s="5" t="n"/>
      <c r="I688">
        <f>VALUE(LEFT($G688,1))*VALUE(LEFT($H688,1))</f>
        <v/>
      </c>
      <c r="J688">
        <f>IF($I688&gt;=20,"Critical",IF($I688&gt;=15,"High",IF($I688&gt;=10,"Medium",IF($I688&gt;=5,"Low",IF($I688&gt;0,"Very Low","")))))</f>
        <v/>
      </c>
      <c r="K688" s="5" t="n"/>
      <c r="O688">
        <f>VALUE(LEFT($M688,1))*VALUE(LEFT($N688,1))</f>
        <v/>
      </c>
      <c r="P688">
        <f>IF($O688&gt;=20,"Critical",IF($O688&gt;=15,"High",IF($O688&gt;=10,"Medium",IF($O688&gt;=5,"Low",IF($O688&gt;0,"Very Low","")))))</f>
        <v/>
      </c>
      <c r="S688" s="5" t="n"/>
      <c r="V688" s="5" t="n"/>
      <c r="W688" s="6" t="n"/>
      <c r="X688" s="6" t="n"/>
      <c r="Z688" s="5" t="n"/>
    </row>
    <row r="689">
      <c r="D689" s="5" t="n"/>
      <c r="E689" s="5" t="n"/>
      <c r="F689" s="5" t="n"/>
      <c r="I689">
        <f>VALUE(LEFT($G689,1))*VALUE(LEFT($H689,1))</f>
        <v/>
      </c>
      <c r="J689">
        <f>IF($I689&gt;=20,"Critical",IF($I689&gt;=15,"High",IF($I689&gt;=10,"Medium",IF($I689&gt;=5,"Low",IF($I689&gt;0,"Very Low","")))))</f>
        <v/>
      </c>
      <c r="K689" s="5" t="n"/>
      <c r="O689">
        <f>VALUE(LEFT($M689,1))*VALUE(LEFT($N689,1))</f>
        <v/>
      </c>
      <c r="P689">
        <f>IF($O689&gt;=20,"Critical",IF($O689&gt;=15,"High",IF($O689&gt;=10,"Medium",IF($O689&gt;=5,"Low",IF($O689&gt;0,"Very Low","")))))</f>
        <v/>
      </c>
      <c r="S689" s="5" t="n"/>
      <c r="V689" s="5" t="n"/>
      <c r="W689" s="6" t="n"/>
      <c r="X689" s="6" t="n"/>
      <c r="Z689" s="5" t="n"/>
    </row>
    <row r="690">
      <c r="D690" s="5" t="n"/>
      <c r="E690" s="5" t="n"/>
      <c r="F690" s="5" t="n"/>
      <c r="I690">
        <f>VALUE(LEFT($G690,1))*VALUE(LEFT($H690,1))</f>
        <v/>
      </c>
      <c r="J690">
        <f>IF($I690&gt;=20,"Critical",IF($I690&gt;=15,"High",IF($I690&gt;=10,"Medium",IF($I690&gt;=5,"Low",IF($I690&gt;0,"Very Low","")))))</f>
        <v/>
      </c>
      <c r="K690" s="5" t="n"/>
      <c r="O690">
        <f>VALUE(LEFT($M690,1))*VALUE(LEFT($N690,1))</f>
        <v/>
      </c>
      <c r="P690">
        <f>IF($O690&gt;=20,"Critical",IF($O690&gt;=15,"High",IF($O690&gt;=10,"Medium",IF($O690&gt;=5,"Low",IF($O690&gt;0,"Very Low","")))))</f>
        <v/>
      </c>
      <c r="S690" s="5" t="n"/>
      <c r="V690" s="5" t="n"/>
      <c r="W690" s="6" t="n"/>
      <c r="X690" s="6" t="n"/>
      <c r="Z690" s="5" t="n"/>
    </row>
    <row r="691">
      <c r="D691" s="5" t="n"/>
      <c r="E691" s="5" t="n"/>
      <c r="F691" s="5" t="n"/>
      <c r="I691">
        <f>VALUE(LEFT($G691,1))*VALUE(LEFT($H691,1))</f>
        <v/>
      </c>
      <c r="J691">
        <f>IF($I691&gt;=20,"Critical",IF($I691&gt;=15,"High",IF($I691&gt;=10,"Medium",IF($I691&gt;=5,"Low",IF($I691&gt;0,"Very Low","")))))</f>
        <v/>
      </c>
      <c r="K691" s="5" t="n"/>
      <c r="O691">
        <f>VALUE(LEFT($M691,1))*VALUE(LEFT($N691,1))</f>
        <v/>
      </c>
      <c r="P691">
        <f>IF($O691&gt;=20,"Critical",IF($O691&gt;=15,"High",IF($O691&gt;=10,"Medium",IF($O691&gt;=5,"Low",IF($O691&gt;0,"Very Low","")))))</f>
        <v/>
      </c>
      <c r="S691" s="5" t="n"/>
      <c r="V691" s="5" t="n"/>
      <c r="W691" s="6" t="n"/>
      <c r="X691" s="6" t="n"/>
      <c r="Z691" s="5" t="n"/>
    </row>
    <row r="692">
      <c r="D692" s="5" t="n"/>
      <c r="E692" s="5" t="n"/>
      <c r="F692" s="5" t="n"/>
      <c r="I692">
        <f>VALUE(LEFT($G692,1))*VALUE(LEFT($H692,1))</f>
        <v/>
      </c>
      <c r="J692">
        <f>IF($I692&gt;=20,"Critical",IF($I692&gt;=15,"High",IF($I692&gt;=10,"Medium",IF($I692&gt;=5,"Low",IF($I692&gt;0,"Very Low","")))))</f>
        <v/>
      </c>
      <c r="K692" s="5" t="n"/>
      <c r="O692">
        <f>VALUE(LEFT($M692,1))*VALUE(LEFT($N692,1))</f>
        <v/>
      </c>
      <c r="P692">
        <f>IF($O692&gt;=20,"Critical",IF($O692&gt;=15,"High",IF($O692&gt;=10,"Medium",IF($O692&gt;=5,"Low",IF($O692&gt;0,"Very Low","")))))</f>
        <v/>
      </c>
      <c r="S692" s="5" t="n"/>
      <c r="V692" s="5" t="n"/>
      <c r="W692" s="6" t="n"/>
      <c r="X692" s="6" t="n"/>
      <c r="Z692" s="5" t="n"/>
    </row>
    <row r="693">
      <c r="D693" s="5" t="n"/>
      <c r="E693" s="5" t="n"/>
      <c r="F693" s="5" t="n"/>
      <c r="I693">
        <f>VALUE(LEFT($G693,1))*VALUE(LEFT($H693,1))</f>
        <v/>
      </c>
      <c r="J693">
        <f>IF($I693&gt;=20,"Critical",IF($I693&gt;=15,"High",IF($I693&gt;=10,"Medium",IF($I693&gt;=5,"Low",IF($I693&gt;0,"Very Low","")))))</f>
        <v/>
      </c>
      <c r="K693" s="5" t="n"/>
      <c r="O693">
        <f>VALUE(LEFT($M693,1))*VALUE(LEFT($N693,1))</f>
        <v/>
      </c>
      <c r="P693">
        <f>IF($O693&gt;=20,"Critical",IF($O693&gt;=15,"High",IF($O693&gt;=10,"Medium",IF($O693&gt;=5,"Low",IF($O693&gt;0,"Very Low","")))))</f>
        <v/>
      </c>
      <c r="S693" s="5" t="n"/>
      <c r="V693" s="5" t="n"/>
      <c r="W693" s="6" t="n"/>
      <c r="X693" s="6" t="n"/>
      <c r="Z693" s="5" t="n"/>
    </row>
    <row r="694">
      <c r="D694" s="5" t="n"/>
      <c r="E694" s="5" t="n"/>
      <c r="F694" s="5" t="n"/>
      <c r="I694">
        <f>VALUE(LEFT($G694,1))*VALUE(LEFT($H694,1))</f>
        <v/>
      </c>
      <c r="J694">
        <f>IF($I694&gt;=20,"Critical",IF($I694&gt;=15,"High",IF($I694&gt;=10,"Medium",IF($I694&gt;=5,"Low",IF($I694&gt;0,"Very Low","")))))</f>
        <v/>
      </c>
      <c r="K694" s="5" t="n"/>
      <c r="O694">
        <f>VALUE(LEFT($M694,1))*VALUE(LEFT($N694,1))</f>
        <v/>
      </c>
      <c r="P694">
        <f>IF($O694&gt;=20,"Critical",IF($O694&gt;=15,"High",IF($O694&gt;=10,"Medium",IF($O694&gt;=5,"Low",IF($O694&gt;0,"Very Low","")))))</f>
        <v/>
      </c>
      <c r="S694" s="5" t="n"/>
      <c r="V694" s="5" t="n"/>
      <c r="W694" s="6" t="n"/>
      <c r="X694" s="6" t="n"/>
      <c r="Z694" s="5" t="n"/>
    </row>
    <row r="695">
      <c r="D695" s="5" t="n"/>
      <c r="E695" s="5" t="n"/>
      <c r="F695" s="5" t="n"/>
      <c r="I695">
        <f>VALUE(LEFT($G695,1))*VALUE(LEFT($H695,1))</f>
        <v/>
      </c>
      <c r="J695">
        <f>IF($I695&gt;=20,"Critical",IF($I695&gt;=15,"High",IF($I695&gt;=10,"Medium",IF($I695&gt;=5,"Low",IF($I695&gt;0,"Very Low","")))))</f>
        <v/>
      </c>
      <c r="K695" s="5" t="n"/>
      <c r="O695">
        <f>VALUE(LEFT($M695,1))*VALUE(LEFT($N695,1))</f>
        <v/>
      </c>
      <c r="P695">
        <f>IF($O695&gt;=20,"Critical",IF($O695&gt;=15,"High",IF($O695&gt;=10,"Medium",IF($O695&gt;=5,"Low",IF($O695&gt;0,"Very Low","")))))</f>
        <v/>
      </c>
      <c r="S695" s="5" t="n"/>
      <c r="V695" s="5" t="n"/>
      <c r="W695" s="6" t="n"/>
      <c r="X695" s="6" t="n"/>
      <c r="Z695" s="5" t="n"/>
    </row>
    <row r="696">
      <c r="D696" s="5" t="n"/>
      <c r="E696" s="5" t="n"/>
      <c r="F696" s="5" t="n"/>
      <c r="I696">
        <f>VALUE(LEFT($G696,1))*VALUE(LEFT($H696,1))</f>
        <v/>
      </c>
      <c r="J696">
        <f>IF($I696&gt;=20,"Critical",IF($I696&gt;=15,"High",IF($I696&gt;=10,"Medium",IF($I696&gt;=5,"Low",IF($I696&gt;0,"Very Low","")))))</f>
        <v/>
      </c>
      <c r="K696" s="5" t="n"/>
      <c r="O696">
        <f>VALUE(LEFT($M696,1))*VALUE(LEFT($N696,1))</f>
        <v/>
      </c>
      <c r="P696">
        <f>IF($O696&gt;=20,"Critical",IF($O696&gt;=15,"High",IF($O696&gt;=10,"Medium",IF($O696&gt;=5,"Low",IF($O696&gt;0,"Very Low","")))))</f>
        <v/>
      </c>
      <c r="S696" s="5" t="n"/>
      <c r="V696" s="5" t="n"/>
      <c r="W696" s="6" t="n"/>
      <c r="X696" s="6" t="n"/>
      <c r="Z696" s="5" t="n"/>
    </row>
    <row r="697">
      <c r="D697" s="5" t="n"/>
      <c r="E697" s="5" t="n"/>
      <c r="F697" s="5" t="n"/>
      <c r="I697">
        <f>VALUE(LEFT($G697,1))*VALUE(LEFT($H697,1))</f>
        <v/>
      </c>
      <c r="J697">
        <f>IF($I697&gt;=20,"Critical",IF($I697&gt;=15,"High",IF($I697&gt;=10,"Medium",IF($I697&gt;=5,"Low",IF($I697&gt;0,"Very Low","")))))</f>
        <v/>
      </c>
      <c r="K697" s="5" t="n"/>
      <c r="O697">
        <f>VALUE(LEFT($M697,1))*VALUE(LEFT($N697,1))</f>
        <v/>
      </c>
      <c r="P697">
        <f>IF($O697&gt;=20,"Critical",IF($O697&gt;=15,"High",IF($O697&gt;=10,"Medium",IF($O697&gt;=5,"Low",IF($O697&gt;0,"Very Low","")))))</f>
        <v/>
      </c>
      <c r="S697" s="5" t="n"/>
      <c r="V697" s="5" t="n"/>
      <c r="W697" s="6" t="n"/>
      <c r="X697" s="6" t="n"/>
      <c r="Z697" s="5" t="n"/>
    </row>
    <row r="698">
      <c r="D698" s="5" t="n"/>
      <c r="E698" s="5" t="n"/>
      <c r="F698" s="5" t="n"/>
      <c r="I698">
        <f>VALUE(LEFT($G698,1))*VALUE(LEFT($H698,1))</f>
        <v/>
      </c>
      <c r="J698">
        <f>IF($I698&gt;=20,"Critical",IF($I698&gt;=15,"High",IF($I698&gt;=10,"Medium",IF($I698&gt;=5,"Low",IF($I698&gt;0,"Very Low","")))))</f>
        <v/>
      </c>
      <c r="K698" s="5" t="n"/>
      <c r="O698">
        <f>VALUE(LEFT($M698,1))*VALUE(LEFT($N698,1))</f>
        <v/>
      </c>
      <c r="P698">
        <f>IF($O698&gt;=20,"Critical",IF($O698&gt;=15,"High",IF($O698&gt;=10,"Medium",IF($O698&gt;=5,"Low",IF($O698&gt;0,"Very Low","")))))</f>
        <v/>
      </c>
      <c r="S698" s="5" t="n"/>
      <c r="V698" s="5" t="n"/>
      <c r="W698" s="6" t="n"/>
      <c r="X698" s="6" t="n"/>
      <c r="Z698" s="5" t="n"/>
    </row>
    <row r="699">
      <c r="D699" s="5" t="n"/>
      <c r="E699" s="5" t="n"/>
      <c r="F699" s="5" t="n"/>
      <c r="I699">
        <f>VALUE(LEFT($G699,1))*VALUE(LEFT($H699,1))</f>
        <v/>
      </c>
      <c r="J699">
        <f>IF($I699&gt;=20,"Critical",IF($I699&gt;=15,"High",IF($I699&gt;=10,"Medium",IF($I699&gt;=5,"Low",IF($I699&gt;0,"Very Low","")))))</f>
        <v/>
      </c>
      <c r="K699" s="5" t="n"/>
      <c r="O699">
        <f>VALUE(LEFT($M699,1))*VALUE(LEFT($N699,1))</f>
        <v/>
      </c>
      <c r="P699">
        <f>IF($O699&gt;=20,"Critical",IF($O699&gt;=15,"High",IF($O699&gt;=10,"Medium",IF($O699&gt;=5,"Low",IF($O699&gt;0,"Very Low","")))))</f>
        <v/>
      </c>
      <c r="S699" s="5" t="n"/>
      <c r="V699" s="5" t="n"/>
      <c r="W699" s="6" t="n"/>
      <c r="X699" s="6" t="n"/>
      <c r="Z699" s="5" t="n"/>
    </row>
    <row r="700">
      <c r="D700" s="5" t="n"/>
      <c r="E700" s="5" t="n"/>
      <c r="F700" s="5" t="n"/>
      <c r="I700">
        <f>VALUE(LEFT($G700,1))*VALUE(LEFT($H700,1))</f>
        <v/>
      </c>
      <c r="J700">
        <f>IF($I700&gt;=20,"Critical",IF($I700&gt;=15,"High",IF($I700&gt;=10,"Medium",IF($I700&gt;=5,"Low",IF($I700&gt;0,"Very Low","")))))</f>
        <v/>
      </c>
      <c r="K700" s="5" t="n"/>
      <c r="O700">
        <f>VALUE(LEFT($M700,1))*VALUE(LEFT($N700,1))</f>
        <v/>
      </c>
      <c r="P700">
        <f>IF($O700&gt;=20,"Critical",IF($O700&gt;=15,"High",IF($O700&gt;=10,"Medium",IF($O700&gt;=5,"Low",IF($O700&gt;0,"Very Low","")))))</f>
        <v/>
      </c>
      <c r="S700" s="5" t="n"/>
      <c r="V700" s="5" t="n"/>
      <c r="W700" s="6" t="n"/>
      <c r="X700" s="6" t="n"/>
      <c r="Z700" s="5" t="n"/>
    </row>
    <row r="701">
      <c r="D701" s="5" t="n"/>
      <c r="E701" s="5" t="n"/>
      <c r="F701" s="5" t="n"/>
      <c r="I701">
        <f>VALUE(LEFT($G701,1))*VALUE(LEFT($H701,1))</f>
        <v/>
      </c>
      <c r="J701">
        <f>IF($I701&gt;=20,"Critical",IF($I701&gt;=15,"High",IF($I701&gt;=10,"Medium",IF($I701&gt;=5,"Low",IF($I701&gt;0,"Very Low","")))))</f>
        <v/>
      </c>
      <c r="K701" s="5" t="n"/>
      <c r="O701">
        <f>VALUE(LEFT($M701,1))*VALUE(LEFT($N701,1))</f>
        <v/>
      </c>
      <c r="P701">
        <f>IF($O701&gt;=20,"Critical",IF($O701&gt;=15,"High",IF($O701&gt;=10,"Medium",IF($O701&gt;=5,"Low",IF($O701&gt;0,"Very Low","")))))</f>
        <v/>
      </c>
      <c r="S701" s="5" t="n"/>
      <c r="V701" s="5" t="n"/>
      <c r="W701" s="6" t="n"/>
      <c r="X701" s="6" t="n"/>
      <c r="Z701" s="5" t="n"/>
    </row>
    <row r="702">
      <c r="D702" s="5" t="n"/>
      <c r="E702" s="5" t="n"/>
      <c r="F702" s="5" t="n"/>
      <c r="I702">
        <f>VALUE(LEFT($G702,1))*VALUE(LEFT($H702,1))</f>
        <v/>
      </c>
      <c r="J702">
        <f>IF($I702&gt;=20,"Critical",IF($I702&gt;=15,"High",IF($I702&gt;=10,"Medium",IF($I702&gt;=5,"Low",IF($I702&gt;0,"Very Low","")))))</f>
        <v/>
      </c>
      <c r="K702" s="5" t="n"/>
      <c r="O702">
        <f>VALUE(LEFT($M702,1))*VALUE(LEFT($N702,1))</f>
        <v/>
      </c>
      <c r="P702">
        <f>IF($O702&gt;=20,"Critical",IF($O702&gt;=15,"High",IF($O702&gt;=10,"Medium",IF($O702&gt;=5,"Low",IF($O702&gt;0,"Very Low","")))))</f>
        <v/>
      </c>
      <c r="S702" s="5" t="n"/>
      <c r="V702" s="5" t="n"/>
      <c r="W702" s="6" t="n"/>
      <c r="X702" s="6" t="n"/>
      <c r="Z702" s="5" t="n"/>
    </row>
    <row r="703">
      <c r="D703" s="5" t="n"/>
      <c r="E703" s="5" t="n"/>
      <c r="F703" s="5" t="n"/>
      <c r="I703">
        <f>VALUE(LEFT($G703,1))*VALUE(LEFT($H703,1))</f>
        <v/>
      </c>
      <c r="J703">
        <f>IF($I703&gt;=20,"Critical",IF($I703&gt;=15,"High",IF($I703&gt;=10,"Medium",IF($I703&gt;=5,"Low",IF($I703&gt;0,"Very Low","")))))</f>
        <v/>
      </c>
      <c r="K703" s="5" t="n"/>
      <c r="O703">
        <f>VALUE(LEFT($M703,1))*VALUE(LEFT($N703,1))</f>
        <v/>
      </c>
      <c r="P703">
        <f>IF($O703&gt;=20,"Critical",IF($O703&gt;=15,"High",IF($O703&gt;=10,"Medium",IF($O703&gt;=5,"Low",IF($O703&gt;0,"Very Low","")))))</f>
        <v/>
      </c>
      <c r="S703" s="5" t="n"/>
      <c r="V703" s="5" t="n"/>
      <c r="W703" s="6" t="n"/>
      <c r="X703" s="6" t="n"/>
      <c r="Z703" s="5" t="n"/>
    </row>
    <row r="704">
      <c r="D704" s="5" t="n"/>
      <c r="E704" s="5" t="n"/>
      <c r="F704" s="5" t="n"/>
      <c r="I704">
        <f>VALUE(LEFT($G704,1))*VALUE(LEFT($H704,1))</f>
        <v/>
      </c>
      <c r="J704">
        <f>IF($I704&gt;=20,"Critical",IF($I704&gt;=15,"High",IF($I704&gt;=10,"Medium",IF($I704&gt;=5,"Low",IF($I704&gt;0,"Very Low","")))))</f>
        <v/>
      </c>
      <c r="K704" s="5" t="n"/>
      <c r="O704">
        <f>VALUE(LEFT($M704,1))*VALUE(LEFT($N704,1))</f>
        <v/>
      </c>
      <c r="P704">
        <f>IF($O704&gt;=20,"Critical",IF($O704&gt;=15,"High",IF($O704&gt;=10,"Medium",IF($O704&gt;=5,"Low",IF($O704&gt;0,"Very Low","")))))</f>
        <v/>
      </c>
      <c r="S704" s="5" t="n"/>
      <c r="V704" s="5" t="n"/>
      <c r="W704" s="6" t="n"/>
      <c r="X704" s="6" t="n"/>
      <c r="Z704" s="5" t="n"/>
    </row>
    <row r="705">
      <c r="D705" s="5" t="n"/>
      <c r="E705" s="5" t="n"/>
      <c r="F705" s="5" t="n"/>
      <c r="I705">
        <f>VALUE(LEFT($G705,1))*VALUE(LEFT($H705,1))</f>
        <v/>
      </c>
      <c r="J705">
        <f>IF($I705&gt;=20,"Critical",IF($I705&gt;=15,"High",IF($I705&gt;=10,"Medium",IF($I705&gt;=5,"Low",IF($I705&gt;0,"Very Low","")))))</f>
        <v/>
      </c>
      <c r="K705" s="5" t="n"/>
      <c r="O705">
        <f>VALUE(LEFT($M705,1))*VALUE(LEFT($N705,1))</f>
        <v/>
      </c>
      <c r="P705">
        <f>IF($O705&gt;=20,"Critical",IF($O705&gt;=15,"High",IF($O705&gt;=10,"Medium",IF($O705&gt;=5,"Low",IF($O705&gt;0,"Very Low","")))))</f>
        <v/>
      </c>
      <c r="S705" s="5" t="n"/>
      <c r="V705" s="5" t="n"/>
      <c r="W705" s="6" t="n"/>
      <c r="X705" s="6" t="n"/>
      <c r="Z705" s="5" t="n"/>
    </row>
    <row r="706">
      <c r="D706" s="5" t="n"/>
      <c r="E706" s="5" t="n"/>
      <c r="F706" s="5" t="n"/>
      <c r="I706">
        <f>VALUE(LEFT($G706,1))*VALUE(LEFT($H706,1))</f>
        <v/>
      </c>
      <c r="J706">
        <f>IF($I706&gt;=20,"Critical",IF($I706&gt;=15,"High",IF($I706&gt;=10,"Medium",IF($I706&gt;=5,"Low",IF($I706&gt;0,"Very Low","")))))</f>
        <v/>
      </c>
      <c r="K706" s="5" t="n"/>
      <c r="O706">
        <f>VALUE(LEFT($M706,1))*VALUE(LEFT($N706,1))</f>
        <v/>
      </c>
      <c r="P706">
        <f>IF($O706&gt;=20,"Critical",IF($O706&gt;=15,"High",IF($O706&gt;=10,"Medium",IF($O706&gt;=5,"Low",IF($O706&gt;0,"Very Low","")))))</f>
        <v/>
      </c>
      <c r="S706" s="5" t="n"/>
      <c r="V706" s="5" t="n"/>
      <c r="W706" s="6" t="n"/>
      <c r="X706" s="6" t="n"/>
      <c r="Z706" s="5" t="n"/>
    </row>
    <row r="707">
      <c r="D707" s="5" t="n"/>
      <c r="E707" s="5" t="n"/>
      <c r="F707" s="5" t="n"/>
      <c r="I707">
        <f>VALUE(LEFT($G707,1))*VALUE(LEFT($H707,1))</f>
        <v/>
      </c>
      <c r="J707">
        <f>IF($I707&gt;=20,"Critical",IF($I707&gt;=15,"High",IF($I707&gt;=10,"Medium",IF($I707&gt;=5,"Low",IF($I707&gt;0,"Very Low","")))))</f>
        <v/>
      </c>
      <c r="K707" s="5" t="n"/>
      <c r="O707">
        <f>VALUE(LEFT($M707,1))*VALUE(LEFT($N707,1))</f>
        <v/>
      </c>
      <c r="P707">
        <f>IF($O707&gt;=20,"Critical",IF($O707&gt;=15,"High",IF($O707&gt;=10,"Medium",IF($O707&gt;=5,"Low",IF($O707&gt;0,"Very Low","")))))</f>
        <v/>
      </c>
      <c r="S707" s="5" t="n"/>
      <c r="V707" s="5" t="n"/>
      <c r="W707" s="6" t="n"/>
      <c r="X707" s="6" t="n"/>
      <c r="Z707" s="5" t="n"/>
    </row>
    <row r="708">
      <c r="D708" s="5" t="n"/>
      <c r="E708" s="5" t="n"/>
      <c r="F708" s="5" t="n"/>
      <c r="I708">
        <f>VALUE(LEFT($G708,1))*VALUE(LEFT($H708,1))</f>
        <v/>
      </c>
      <c r="J708">
        <f>IF($I708&gt;=20,"Critical",IF($I708&gt;=15,"High",IF($I708&gt;=10,"Medium",IF($I708&gt;=5,"Low",IF($I708&gt;0,"Very Low","")))))</f>
        <v/>
      </c>
      <c r="K708" s="5" t="n"/>
      <c r="O708">
        <f>VALUE(LEFT($M708,1))*VALUE(LEFT($N708,1))</f>
        <v/>
      </c>
      <c r="P708">
        <f>IF($O708&gt;=20,"Critical",IF($O708&gt;=15,"High",IF($O708&gt;=10,"Medium",IF($O708&gt;=5,"Low",IF($O708&gt;0,"Very Low","")))))</f>
        <v/>
      </c>
      <c r="S708" s="5" t="n"/>
      <c r="V708" s="5" t="n"/>
      <c r="W708" s="6" t="n"/>
      <c r="X708" s="6" t="n"/>
      <c r="Z708" s="5" t="n"/>
    </row>
    <row r="709">
      <c r="D709" s="5" t="n"/>
      <c r="E709" s="5" t="n"/>
      <c r="F709" s="5" t="n"/>
      <c r="I709">
        <f>VALUE(LEFT($G709,1))*VALUE(LEFT($H709,1))</f>
        <v/>
      </c>
      <c r="J709">
        <f>IF($I709&gt;=20,"Critical",IF($I709&gt;=15,"High",IF($I709&gt;=10,"Medium",IF($I709&gt;=5,"Low",IF($I709&gt;0,"Very Low","")))))</f>
        <v/>
      </c>
      <c r="K709" s="5" t="n"/>
      <c r="O709">
        <f>VALUE(LEFT($M709,1))*VALUE(LEFT($N709,1))</f>
        <v/>
      </c>
      <c r="P709">
        <f>IF($O709&gt;=20,"Critical",IF($O709&gt;=15,"High",IF($O709&gt;=10,"Medium",IF($O709&gt;=5,"Low",IF($O709&gt;0,"Very Low","")))))</f>
        <v/>
      </c>
      <c r="S709" s="5" t="n"/>
      <c r="V709" s="5" t="n"/>
      <c r="W709" s="6" t="n"/>
      <c r="X709" s="6" t="n"/>
      <c r="Z709" s="5" t="n"/>
    </row>
    <row r="710">
      <c r="D710" s="5" t="n"/>
      <c r="E710" s="5" t="n"/>
      <c r="F710" s="5" t="n"/>
      <c r="I710">
        <f>VALUE(LEFT($G710,1))*VALUE(LEFT($H710,1))</f>
        <v/>
      </c>
      <c r="J710">
        <f>IF($I710&gt;=20,"Critical",IF($I710&gt;=15,"High",IF($I710&gt;=10,"Medium",IF($I710&gt;=5,"Low",IF($I710&gt;0,"Very Low","")))))</f>
        <v/>
      </c>
      <c r="K710" s="5" t="n"/>
      <c r="O710">
        <f>VALUE(LEFT($M710,1))*VALUE(LEFT($N710,1))</f>
        <v/>
      </c>
      <c r="P710">
        <f>IF($O710&gt;=20,"Critical",IF($O710&gt;=15,"High",IF($O710&gt;=10,"Medium",IF($O710&gt;=5,"Low",IF($O710&gt;0,"Very Low","")))))</f>
        <v/>
      </c>
      <c r="S710" s="5" t="n"/>
      <c r="V710" s="5" t="n"/>
      <c r="W710" s="6" t="n"/>
      <c r="X710" s="6" t="n"/>
      <c r="Z710" s="5" t="n"/>
    </row>
    <row r="711">
      <c r="D711" s="5" t="n"/>
      <c r="E711" s="5" t="n"/>
      <c r="F711" s="5" t="n"/>
      <c r="I711">
        <f>VALUE(LEFT($G711,1))*VALUE(LEFT($H711,1))</f>
        <v/>
      </c>
      <c r="J711">
        <f>IF($I711&gt;=20,"Critical",IF($I711&gt;=15,"High",IF($I711&gt;=10,"Medium",IF($I711&gt;=5,"Low",IF($I711&gt;0,"Very Low","")))))</f>
        <v/>
      </c>
      <c r="K711" s="5" t="n"/>
      <c r="O711">
        <f>VALUE(LEFT($M711,1))*VALUE(LEFT($N711,1))</f>
        <v/>
      </c>
      <c r="P711">
        <f>IF($O711&gt;=20,"Critical",IF($O711&gt;=15,"High",IF($O711&gt;=10,"Medium",IF($O711&gt;=5,"Low",IF($O711&gt;0,"Very Low","")))))</f>
        <v/>
      </c>
      <c r="S711" s="5" t="n"/>
      <c r="V711" s="5" t="n"/>
      <c r="W711" s="6" t="n"/>
      <c r="X711" s="6" t="n"/>
      <c r="Z711" s="5" t="n"/>
    </row>
    <row r="712">
      <c r="D712" s="5" t="n"/>
      <c r="E712" s="5" t="n"/>
      <c r="F712" s="5" t="n"/>
      <c r="I712">
        <f>VALUE(LEFT($G712,1))*VALUE(LEFT($H712,1))</f>
        <v/>
      </c>
      <c r="J712">
        <f>IF($I712&gt;=20,"Critical",IF($I712&gt;=15,"High",IF($I712&gt;=10,"Medium",IF($I712&gt;=5,"Low",IF($I712&gt;0,"Very Low","")))))</f>
        <v/>
      </c>
      <c r="K712" s="5" t="n"/>
      <c r="O712">
        <f>VALUE(LEFT($M712,1))*VALUE(LEFT($N712,1))</f>
        <v/>
      </c>
      <c r="P712">
        <f>IF($O712&gt;=20,"Critical",IF($O712&gt;=15,"High",IF($O712&gt;=10,"Medium",IF($O712&gt;=5,"Low",IF($O712&gt;0,"Very Low","")))))</f>
        <v/>
      </c>
      <c r="S712" s="5" t="n"/>
      <c r="V712" s="5" t="n"/>
      <c r="W712" s="6" t="n"/>
      <c r="X712" s="6" t="n"/>
      <c r="Z712" s="5" t="n"/>
    </row>
    <row r="713">
      <c r="D713" s="5" t="n"/>
      <c r="E713" s="5" t="n"/>
      <c r="F713" s="5" t="n"/>
      <c r="I713">
        <f>VALUE(LEFT($G713,1))*VALUE(LEFT($H713,1))</f>
        <v/>
      </c>
      <c r="J713">
        <f>IF($I713&gt;=20,"Critical",IF($I713&gt;=15,"High",IF($I713&gt;=10,"Medium",IF($I713&gt;=5,"Low",IF($I713&gt;0,"Very Low","")))))</f>
        <v/>
      </c>
      <c r="K713" s="5" t="n"/>
      <c r="O713">
        <f>VALUE(LEFT($M713,1))*VALUE(LEFT($N713,1))</f>
        <v/>
      </c>
      <c r="P713">
        <f>IF($O713&gt;=20,"Critical",IF($O713&gt;=15,"High",IF($O713&gt;=10,"Medium",IF($O713&gt;=5,"Low",IF($O713&gt;0,"Very Low","")))))</f>
        <v/>
      </c>
      <c r="S713" s="5" t="n"/>
      <c r="V713" s="5" t="n"/>
      <c r="W713" s="6" t="n"/>
      <c r="X713" s="6" t="n"/>
      <c r="Z713" s="5" t="n"/>
    </row>
    <row r="714">
      <c r="D714" s="5" t="n"/>
      <c r="E714" s="5" t="n"/>
      <c r="F714" s="5" t="n"/>
      <c r="I714">
        <f>VALUE(LEFT($G714,1))*VALUE(LEFT($H714,1))</f>
        <v/>
      </c>
      <c r="J714">
        <f>IF($I714&gt;=20,"Critical",IF($I714&gt;=15,"High",IF($I714&gt;=10,"Medium",IF($I714&gt;=5,"Low",IF($I714&gt;0,"Very Low","")))))</f>
        <v/>
      </c>
      <c r="K714" s="5" t="n"/>
      <c r="O714">
        <f>VALUE(LEFT($M714,1))*VALUE(LEFT($N714,1))</f>
        <v/>
      </c>
      <c r="P714">
        <f>IF($O714&gt;=20,"Critical",IF($O714&gt;=15,"High",IF($O714&gt;=10,"Medium",IF($O714&gt;=5,"Low",IF($O714&gt;0,"Very Low","")))))</f>
        <v/>
      </c>
      <c r="S714" s="5" t="n"/>
      <c r="V714" s="5" t="n"/>
      <c r="W714" s="6" t="n"/>
      <c r="X714" s="6" t="n"/>
      <c r="Z714" s="5" t="n"/>
    </row>
    <row r="715">
      <c r="D715" s="5" t="n"/>
      <c r="E715" s="5" t="n"/>
      <c r="F715" s="5" t="n"/>
      <c r="I715">
        <f>VALUE(LEFT($G715,1))*VALUE(LEFT($H715,1))</f>
        <v/>
      </c>
      <c r="J715">
        <f>IF($I715&gt;=20,"Critical",IF($I715&gt;=15,"High",IF($I715&gt;=10,"Medium",IF($I715&gt;=5,"Low",IF($I715&gt;0,"Very Low","")))))</f>
        <v/>
      </c>
      <c r="K715" s="5" t="n"/>
      <c r="O715">
        <f>VALUE(LEFT($M715,1))*VALUE(LEFT($N715,1))</f>
        <v/>
      </c>
      <c r="P715">
        <f>IF($O715&gt;=20,"Critical",IF($O715&gt;=15,"High",IF($O715&gt;=10,"Medium",IF($O715&gt;=5,"Low",IF($O715&gt;0,"Very Low","")))))</f>
        <v/>
      </c>
      <c r="S715" s="5" t="n"/>
      <c r="V715" s="5" t="n"/>
      <c r="W715" s="6" t="n"/>
      <c r="X715" s="6" t="n"/>
      <c r="Z715" s="5" t="n"/>
    </row>
    <row r="716">
      <c r="D716" s="5" t="n"/>
      <c r="E716" s="5" t="n"/>
      <c r="F716" s="5" t="n"/>
      <c r="I716">
        <f>VALUE(LEFT($G716,1))*VALUE(LEFT($H716,1))</f>
        <v/>
      </c>
      <c r="J716">
        <f>IF($I716&gt;=20,"Critical",IF($I716&gt;=15,"High",IF($I716&gt;=10,"Medium",IF($I716&gt;=5,"Low",IF($I716&gt;0,"Very Low","")))))</f>
        <v/>
      </c>
      <c r="K716" s="5" t="n"/>
      <c r="O716">
        <f>VALUE(LEFT($M716,1))*VALUE(LEFT($N716,1))</f>
        <v/>
      </c>
      <c r="P716">
        <f>IF($O716&gt;=20,"Critical",IF($O716&gt;=15,"High",IF($O716&gt;=10,"Medium",IF($O716&gt;=5,"Low",IF($O716&gt;0,"Very Low","")))))</f>
        <v/>
      </c>
      <c r="S716" s="5" t="n"/>
      <c r="V716" s="5" t="n"/>
      <c r="W716" s="6" t="n"/>
      <c r="X716" s="6" t="n"/>
      <c r="Z716" s="5" t="n"/>
    </row>
    <row r="717">
      <c r="D717" s="5" t="n"/>
      <c r="E717" s="5" t="n"/>
      <c r="F717" s="5" t="n"/>
      <c r="I717">
        <f>VALUE(LEFT($G717,1))*VALUE(LEFT($H717,1))</f>
        <v/>
      </c>
      <c r="J717">
        <f>IF($I717&gt;=20,"Critical",IF($I717&gt;=15,"High",IF($I717&gt;=10,"Medium",IF($I717&gt;=5,"Low",IF($I717&gt;0,"Very Low","")))))</f>
        <v/>
      </c>
      <c r="K717" s="5" t="n"/>
      <c r="O717">
        <f>VALUE(LEFT($M717,1))*VALUE(LEFT($N717,1))</f>
        <v/>
      </c>
      <c r="P717">
        <f>IF($O717&gt;=20,"Critical",IF($O717&gt;=15,"High",IF($O717&gt;=10,"Medium",IF($O717&gt;=5,"Low",IF($O717&gt;0,"Very Low","")))))</f>
        <v/>
      </c>
      <c r="S717" s="5" t="n"/>
      <c r="V717" s="5" t="n"/>
      <c r="W717" s="6" t="n"/>
      <c r="X717" s="6" t="n"/>
      <c r="Z717" s="5" t="n"/>
    </row>
    <row r="718">
      <c r="D718" s="5" t="n"/>
      <c r="E718" s="5" t="n"/>
      <c r="F718" s="5" t="n"/>
      <c r="I718">
        <f>VALUE(LEFT($G718,1))*VALUE(LEFT($H718,1))</f>
        <v/>
      </c>
      <c r="J718">
        <f>IF($I718&gt;=20,"Critical",IF($I718&gt;=15,"High",IF($I718&gt;=10,"Medium",IF($I718&gt;=5,"Low",IF($I718&gt;0,"Very Low","")))))</f>
        <v/>
      </c>
      <c r="K718" s="5" t="n"/>
      <c r="O718">
        <f>VALUE(LEFT($M718,1))*VALUE(LEFT($N718,1))</f>
        <v/>
      </c>
      <c r="P718">
        <f>IF($O718&gt;=20,"Critical",IF($O718&gt;=15,"High",IF($O718&gt;=10,"Medium",IF($O718&gt;=5,"Low",IF($O718&gt;0,"Very Low","")))))</f>
        <v/>
      </c>
      <c r="S718" s="5" t="n"/>
      <c r="V718" s="5" t="n"/>
      <c r="W718" s="6" t="n"/>
      <c r="X718" s="6" t="n"/>
      <c r="Z718" s="5" t="n"/>
    </row>
    <row r="719">
      <c r="D719" s="5" t="n"/>
      <c r="E719" s="5" t="n"/>
      <c r="F719" s="5" t="n"/>
      <c r="I719">
        <f>VALUE(LEFT($G719,1))*VALUE(LEFT($H719,1))</f>
        <v/>
      </c>
      <c r="J719">
        <f>IF($I719&gt;=20,"Critical",IF($I719&gt;=15,"High",IF($I719&gt;=10,"Medium",IF($I719&gt;=5,"Low",IF($I719&gt;0,"Very Low","")))))</f>
        <v/>
      </c>
      <c r="K719" s="5" t="n"/>
      <c r="O719">
        <f>VALUE(LEFT($M719,1))*VALUE(LEFT($N719,1))</f>
        <v/>
      </c>
      <c r="P719">
        <f>IF($O719&gt;=20,"Critical",IF($O719&gt;=15,"High",IF($O719&gt;=10,"Medium",IF($O719&gt;=5,"Low",IF($O719&gt;0,"Very Low","")))))</f>
        <v/>
      </c>
      <c r="S719" s="5" t="n"/>
      <c r="V719" s="5" t="n"/>
      <c r="W719" s="6" t="n"/>
      <c r="X719" s="6" t="n"/>
      <c r="Z719" s="5" t="n"/>
    </row>
    <row r="720">
      <c r="D720" s="5" t="n"/>
      <c r="E720" s="5" t="n"/>
      <c r="F720" s="5" t="n"/>
      <c r="I720">
        <f>VALUE(LEFT($G720,1))*VALUE(LEFT($H720,1))</f>
        <v/>
      </c>
      <c r="J720">
        <f>IF($I720&gt;=20,"Critical",IF($I720&gt;=15,"High",IF($I720&gt;=10,"Medium",IF($I720&gt;=5,"Low",IF($I720&gt;0,"Very Low","")))))</f>
        <v/>
      </c>
      <c r="K720" s="5" t="n"/>
      <c r="O720">
        <f>VALUE(LEFT($M720,1))*VALUE(LEFT($N720,1))</f>
        <v/>
      </c>
      <c r="P720">
        <f>IF($O720&gt;=20,"Critical",IF($O720&gt;=15,"High",IF($O720&gt;=10,"Medium",IF($O720&gt;=5,"Low",IF($O720&gt;0,"Very Low","")))))</f>
        <v/>
      </c>
      <c r="S720" s="5" t="n"/>
      <c r="V720" s="5" t="n"/>
      <c r="W720" s="6" t="n"/>
      <c r="X720" s="6" t="n"/>
      <c r="Z720" s="5" t="n"/>
    </row>
    <row r="721">
      <c r="D721" s="5" t="n"/>
      <c r="E721" s="5" t="n"/>
      <c r="F721" s="5" t="n"/>
      <c r="I721">
        <f>VALUE(LEFT($G721,1))*VALUE(LEFT($H721,1))</f>
        <v/>
      </c>
      <c r="J721">
        <f>IF($I721&gt;=20,"Critical",IF($I721&gt;=15,"High",IF($I721&gt;=10,"Medium",IF($I721&gt;=5,"Low",IF($I721&gt;0,"Very Low","")))))</f>
        <v/>
      </c>
      <c r="K721" s="5" t="n"/>
      <c r="O721">
        <f>VALUE(LEFT($M721,1))*VALUE(LEFT($N721,1))</f>
        <v/>
      </c>
      <c r="P721">
        <f>IF($O721&gt;=20,"Critical",IF($O721&gt;=15,"High",IF($O721&gt;=10,"Medium",IF($O721&gt;=5,"Low",IF($O721&gt;0,"Very Low","")))))</f>
        <v/>
      </c>
      <c r="S721" s="5" t="n"/>
      <c r="V721" s="5" t="n"/>
      <c r="W721" s="6" t="n"/>
      <c r="X721" s="6" t="n"/>
      <c r="Z721" s="5" t="n"/>
    </row>
    <row r="722">
      <c r="D722" s="5" t="n"/>
      <c r="E722" s="5" t="n"/>
      <c r="F722" s="5" t="n"/>
      <c r="I722">
        <f>VALUE(LEFT($G722,1))*VALUE(LEFT($H722,1))</f>
        <v/>
      </c>
      <c r="J722">
        <f>IF($I722&gt;=20,"Critical",IF($I722&gt;=15,"High",IF($I722&gt;=10,"Medium",IF($I722&gt;=5,"Low",IF($I722&gt;0,"Very Low","")))))</f>
        <v/>
      </c>
      <c r="K722" s="5" t="n"/>
      <c r="O722">
        <f>VALUE(LEFT($M722,1))*VALUE(LEFT($N722,1))</f>
        <v/>
      </c>
      <c r="P722">
        <f>IF($O722&gt;=20,"Critical",IF($O722&gt;=15,"High",IF($O722&gt;=10,"Medium",IF($O722&gt;=5,"Low",IF($O722&gt;0,"Very Low","")))))</f>
        <v/>
      </c>
      <c r="S722" s="5" t="n"/>
      <c r="V722" s="5" t="n"/>
      <c r="W722" s="6" t="n"/>
      <c r="X722" s="6" t="n"/>
      <c r="Z722" s="5" t="n"/>
    </row>
    <row r="723">
      <c r="D723" s="5" t="n"/>
      <c r="E723" s="5" t="n"/>
      <c r="F723" s="5" t="n"/>
      <c r="I723">
        <f>VALUE(LEFT($G723,1))*VALUE(LEFT($H723,1))</f>
        <v/>
      </c>
      <c r="J723">
        <f>IF($I723&gt;=20,"Critical",IF($I723&gt;=15,"High",IF($I723&gt;=10,"Medium",IF($I723&gt;=5,"Low",IF($I723&gt;0,"Very Low","")))))</f>
        <v/>
      </c>
      <c r="K723" s="5" t="n"/>
      <c r="O723">
        <f>VALUE(LEFT($M723,1))*VALUE(LEFT($N723,1))</f>
        <v/>
      </c>
      <c r="P723">
        <f>IF($O723&gt;=20,"Critical",IF($O723&gt;=15,"High",IF($O723&gt;=10,"Medium",IF($O723&gt;=5,"Low",IF($O723&gt;0,"Very Low","")))))</f>
        <v/>
      </c>
      <c r="S723" s="5" t="n"/>
      <c r="V723" s="5" t="n"/>
      <c r="W723" s="6" t="n"/>
      <c r="X723" s="6" t="n"/>
      <c r="Z723" s="5" t="n"/>
    </row>
    <row r="724">
      <c r="D724" s="5" t="n"/>
      <c r="E724" s="5" t="n"/>
      <c r="F724" s="5" t="n"/>
      <c r="I724">
        <f>VALUE(LEFT($G724,1))*VALUE(LEFT($H724,1))</f>
        <v/>
      </c>
      <c r="J724">
        <f>IF($I724&gt;=20,"Critical",IF($I724&gt;=15,"High",IF($I724&gt;=10,"Medium",IF($I724&gt;=5,"Low",IF($I724&gt;0,"Very Low","")))))</f>
        <v/>
      </c>
      <c r="K724" s="5" t="n"/>
      <c r="O724">
        <f>VALUE(LEFT($M724,1))*VALUE(LEFT($N724,1))</f>
        <v/>
      </c>
      <c r="P724">
        <f>IF($O724&gt;=20,"Critical",IF($O724&gt;=15,"High",IF($O724&gt;=10,"Medium",IF($O724&gt;=5,"Low",IF($O724&gt;0,"Very Low","")))))</f>
        <v/>
      </c>
      <c r="S724" s="5" t="n"/>
      <c r="V724" s="5" t="n"/>
      <c r="W724" s="6" t="n"/>
      <c r="X724" s="6" t="n"/>
      <c r="Z724" s="5" t="n"/>
    </row>
    <row r="725">
      <c r="D725" s="5" t="n"/>
      <c r="E725" s="5" t="n"/>
      <c r="F725" s="5" t="n"/>
      <c r="I725">
        <f>VALUE(LEFT($G725,1))*VALUE(LEFT($H725,1))</f>
        <v/>
      </c>
      <c r="J725">
        <f>IF($I725&gt;=20,"Critical",IF($I725&gt;=15,"High",IF($I725&gt;=10,"Medium",IF($I725&gt;=5,"Low",IF($I725&gt;0,"Very Low","")))))</f>
        <v/>
      </c>
      <c r="K725" s="5" t="n"/>
      <c r="O725">
        <f>VALUE(LEFT($M725,1))*VALUE(LEFT($N725,1))</f>
        <v/>
      </c>
      <c r="P725">
        <f>IF($O725&gt;=20,"Critical",IF($O725&gt;=15,"High",IF($O725&gt;=10,"Medium",IF($O725&gt;=5,"Low",IF($O725&gt;0,"Very Low","")))))</f>
        <v/>
      </c>
      <c r="S725" s="5" t="n"/>
      <c r="V725" s="5" t="n"/>
      <c r="W725" s="6" t="n"/>
      <c r="X725" s="6" t="n"/>
      <c r="Z725" s="5" t="n"/>
    </row>
    <row r="726">
      <c r="D726" s="5" t="n"/>
      <c r="E726" s="5" t="n"/>
      <c r="F726" s="5" t="n"/>
      <c r="I726">
        <f>VALUE(LEFT($G726,1))*VALUE(LEFT($H726,1))</f>
        <v/>
      </c>
      <c r="J726">
        <f>IF($I726&gt;=20,"Critical",IF($I726&gt;=15,"High",IF($I726&gt;=10,"Medium",IF($I726&gt;=5,"Low",IF($I726&gt;0,"Very Low","")))))</f>
        <v/>
      </c>
      <c r="K726" s="5" t="n"/>
      <c r="O726">
        <f>VALUE(LEFT($M726,1))*VALUE(LEFT($N726,1))</f>
        <v/>
      </c>
      <c r="P726">
        <f>IF($O726&gt;=20,"Critical",IF($O726&gt;=15,"High",IF($O726&gt;=10,"Medium",IF($O726&gt;=5,"Low",IF($O726&gt;0,"Very Low","")))))</f>
        <v/>
      </c>
      <c r="S726" s="5" t="n"/>
      <c r="V726" s="5" t="n"/>
      <c r="W726" s="6" t="n"/>
      <c r="X726" s="6" t="n"/>
      <c r="Z726" s="5" t="n"/>
    </row>
    <row r="727">
      <c r="D727" s="5" t="n"/>
      <c r="E727" s="5" t="n"/>
      <c r="F727" s="5" t="n"/>
      <c r="I727">
        <f>VALUE(LEFT($G727,1))*VALUE(LEFT($H727,1))</f>
        <v/>
      </c>
      <c r="J727">
        <f>IF($I727&gt;=20,"Critical",IF($I727&gt;=15,"High",IF($I727&gt;=10,"Medium",IF($I727&gt;=5,"Low",IF($I727&gt;0,"Very Low","")))))</f>
        <v/>
      </c>
      <c r="K727" s="5" t="n"/>
      <c r="O727">
        <f>VALUE(LEFT($M727,1))*VALUE(LEFT($N727,1))</f>
        <v/>
      </c>
      <c r="P727">
        <f>IF($O727&gt;=20,"Critical",IF($O727&gt;=15,"High",IF($O727&gt;=10,"Medium",IF($O727&gt;=5,"Low",IF($O727&gt;0,"Very Low","")))))</f>
        <v/>
      </c>
      <c r="S727" s="5" t="n"/>
      <c r="V727" s="5" t="n"/>
      <c r="W727" s="6" t="n"/>
      <c r="X727" s="6" t="n"/>
      <c r="Z727" s="5" t="n"/>
    </row>
    <row r="728">
      <c r="D728" s="5" t="n"/>
      <c r="E728" s="5" t="n"/>
      <c r="F728" s="5" t="n"/>
      <c r="I728">
        <f>VALUE(LEFT($G728,1))*VALUE(LEFT($H728,1))</f>
        <v/>
      </c>
      <c r="J728">
        <f>IF($I728&gt;=20,"Critical",IF($I728&gt;=15,"High",IF($I728&gt;=10,"Medium",IF($I728&gt;=5,"Low",IF($I728&gt;0,"Very Low","")))))</f>
        <v/>
      </c>
      <c r="K728" s="5" t="n"/>
      <c r="O728">
        <f>VALUE(LEFT($M728,1))*VALUE(LEFT($N728,1))</f>
        <v/>
      </c>
      <c r="P728">
        <f>IF($O728&gt;=20,"Critical",IF($O728&gt;=15,"High",IF($O728&gt;=10,"Medium",IF($O728&gt;=5,"Low",IF($O728&gt;0,"Very Low","")))))</f>
        <v/>
      </c>
      <c r="S728" s="5" t="n"/>
      <c r="V728" s="5" t="n"/>
      <c r="W728" s="6" t="n"/>
      <c r="X728" s="6" t="n"/>
      <c r="Z728" s="5" t="n"/>
    </row>
    <row r="729">
      <c r="D729" s="5" t="n"/>
      <c r="E729" s="5" t="n"/>
      <c r="F729" s="5" t="n"/>
      <c r="I729">
        <f>VALUE(LEFT($G729,1))*VALUE(LEFT($H729,1))</f>
        <v/>
      </c>
      <c r="J729">
        <f>IF($I729&gt;=20,"Critical",IF($I729&gt;=15,"High",IF($I729&gt;=10,"Medium",IF($I729&gt;=5,"Low",IF($I729&gt;0,"Very Low","")))))</f>
        <v/>
      </c>
      <c r="K729" s="5" t="n"/>
      <c r="O729">
        <f>VALUE(LEFT($M729,1))*VALUE(LEFT($N729,1))</f>
        <v/>
      </c>
      <c r="P729">
        <f>IF($O729&gt;=20,"Critical",IF($O729&gt;=15,"High",IF($O729&gt;=10,"Medium",IF($O729&gt;=5,"Low",IF($O729&gt;0,"Very Low","")))))</f>
        <v/>
      </c>
      <c r="S729" s="5" t="n"/>
      <c r="V729" s="5" t="n"/>
      <c r="W729" s="6" t="n"/>
      <c r="X729" s="6" t="n"/>
      <c r="Z729" s="5" t="n"/>
    </row>
    <row r="730">
      <c r="D730" s="5" t="n"/>
      <c r="E730" s="5" t="n"/>
      <c r="F730" s="5" t="n"/>
      <c r="I730">
        <f>VALUE(LEFT($G730,1))*VALUE(LEFT($H730,1))</f>
        <v/>
      </c>
      <c r="J730">
        <f>IF($I730&gt;=20,"Critical",IF($I730&gt;=15,"High",IF($I730&gt;=10,"Medium",IF($I730&gt;=5,"Low",IF($I730&gt;0,"Very Low","")))))</f>
        <v/>
      </c>
      <c r="K730" s="5" t="n"/>
      <c r="O730">
        <f>VALUE(LEFT($M730,1))*VALUE(LEFT($N730,1))</f>
        <v/>
      </c>
      <c r="P730">
        <f>IF($O730&gt;=20,"Critical",IF($O730&gt;=15,"High",IF($O730&gt;=10,"Medium",IF($O730&gt;=5,"Low",IF($O730&gt;0,"Very Low","")))))</f>
        <v/>
      </c>
      <c r="S730" s="5" t="n"/>
      <c r="V730" s="5" t="n"/>
      <c r="W730" s="6" t="n"/>
      <c r="X730" s="6" t="n"/>
      <c r="Z730" s="5" t="n"/>
    </row>
    <row r="731">
      <c r="D731" s="5" t="n"/>
      <c r="E731" s="5" t="n"/>
      <c r="F731" s="5" t="n"/>
      <c r="I731">
        <f>VALUE(LEFT($G731,1))*VALUE(LEFT($H731,1))</f>
        <v/>
      </c>
      <c r="J731">
        <f>IF($I731&gt;=20,"Critical",IF($I731&gt;=15,"High",IF($I731&gt;=10,"Medium",IF($I731&gt;=5,"Low",IF($I731&gt;0,"Very Low","")))))</f>
        <v/>
      </c>
      <c r="K731" s="5" t="n"/>
      <c r="O731">
        <f>VALUE(LEFT($M731,1))*VALUE(LEFT($N731,1))</f>
        <v/>
      </c>
      <c r="P731">
        <f>IF($O731&gt;=20,"Critical",IF($O731&gt;=15,"High",IF($O731&gt;=10,"Medium",IF($O731&gt;=5,"Low",IF($O731&gt;0,"Very Low","")))))</f>
        <v/>
      </c>
      <c r="S731" s="5" t="n"/>
      <c r="V731" s="5" t="n"/>
      <c r="W731" s="6" t="n"/>
      <c r="X731" s="6" t="n"/>
      <c r="Z731" s="5" t="n"/>
    </row>
    <row r="732">
      <c r="D732" s="5" t="n"/>
      <c r="E732" s="5" t="n"/>
      <c r="F732" s="5" t="n"/>
      <c r="I732">
        <f>VALUE(LEFT($G732,1))*VALUE(LEFT($H732,1))</f>
        <v/>
      </c>
      <c r="J732">
        <f>IF($I732&gt;=20,"Critical",IF($I732&gt;=15,"High",IF($I732&gt;=10,"Medium",IF($I732&gt;=5,"Low",IF($I732&gt;0,"Very Low","")))))</f>
        <v/>
      </c>
      <c r="K732" s="5" t="n"/>
      <c r="O732">
        <f>VALUE(LEFT($M732,1))*VALUE(LEFT($N732,1))</f>
        <v/>
      </c>
      <c r="P732">
        <f>IF($O732&gt;=20,"Critical",IF($O732&gt;=15,"High",IF($O732&gt;=10,"Medium",IF($O732&gt;=5,"Low",IF($O732&gt;0,"Very Low","")))))</f>
        <v/>
      </c>
      <c r="S732" s="5" t="n"/>
      <c r="V732" s="5" t="n"/>
      <c r="W732" s="6" t="n"/>
      <c r="X732" s="6" t="n"/>
      <c r="Z732" s="5" t="n"/>
    </row>
    <row r="733">
      <c r="D733" s="5" t="n"/>
      <c r="E733" s="5" t="n"/>
      <c r="F733" s="5" t="n"/>
      <c r="I733">
        <f>VALUE(LEFT($G733,1))*VALUE(LEFT($H733,1))</f>
        <v/>
      </c>
      <c r="J733">
        <f>IF($I733&gt;=20,"Critical",IF($I733&gt;=15,"High",IF($I733&gt;=10,"Medium",IF($I733&gt;=5,"Low",IF($I733&gt;0,"Very Low","")))))</f>
        <v/>
      </c>
      <c r="K733" s="5" t="n"/>
      <c r="O733">
        <f>VALUE(LEFT($M733,1))*VALUE(LEFT($N733,1))</f>
        <v/>
      </c>
      <c r="P733">
        <f>IF($O733&gt;=20,"Critical",IF($O733&gt;=15,"High",IF($O733&gt;=10,"Medium",IF($O733&gt;=5,"Low",IF($O733&gt;0,"Very Low","")))))</f>
        <v/>
      </c>
      <c r="S733" s="5" t="n"/>
      <c r="V733" s="5" t="n"/>
      <c r="W733" s="6" t="n"/>
      <c r="X733" s="6" t="n"/>
      <c r="Z733" s="5" t="n"/>
    </row>
    <row r="734">
      <c r="D734" s="5" t="n"/>
      <c r="E734" s="5" t="n"/>
      <c r="F734" s="5" t="n"/>
      <c r="I734">
        <f>VALUE(LEFT($G734,1))*VALUE(LEFT($H734,1))</f>
        <v/>
      </c>
      <c r="J734">
        <f>IF($I734&gt;=20,"Critical",IF($I734&gt;=15,"High",IF($I734&gt;=10,"Medium",IF($I734&gt;=5,"Low",IF($I734&gt;0,"Very Low","")))))</f>
        <v/>
      </c>
      <c r="K734" s="5" t="n"/>
      <c r="O734">
        <f>VALUE(LEFT($M734,1))*VALUE(LEFT($N734,1))</f>
        <v/>
      </c>
      <c r="P734">
        <f>IF($O734&gt;=20,"Critical",IF($O734&gt;=15,"High",IF($O734&gt;=10,"Medium",IF($O734&gt;=5,"Low",IF($O734&gt;0,"Very Low","")))))</f>
        <v/>
      </c>
      <c r="S734" s="5" t="n"/>
      <c r="V734" s="5" t="n"/>
      <c r="W734" s="6" t="n"/>
      <c r="X734" s="6" t="n"/>
      <c r="Z734" s="5" t="n"/>
    </row>
    <row r="735">
      <c r="D735" s="5" t="n"/>
      <c r="E735" s="5" t="n"/>
      <c r="F735" s="5" t="n"/>
      <c r="I735">
        <f>VALUE(LEFT($G735,1))*VALUE(LEFT($H735,1))</f>
        <v/>
      </c>
      <c r="J735">
        <f>IF($I735&gt;=20,"Critical",IF($I735&gt;=15,"High",IF($I735&gt;=10,"Medium",IF($I735&gt;=5,"Low",IF($I735&gt;0,"Very Low","")))))</f>
        <v/>
      </c>
      <c r="K735" s="5" t="n"/>
      <c r="O735">
        <f>VALUE(LEFT($M735,1))*VALUE(LEFT($N735,1))</f>
        <v/>
      </c>
      <c r="P735">
        <f>IF($O735&gt;=20,"Critical",IF($O735&gt;=15,"High",IF($O735&gt;=10,"Medium",IF($O735&gt;=5,"Low",IF($O735&gt;0,"Very Low","")))))</f>
        <v/>
      </c>
      <c r="S735" s="5" t="n"/>
      <c r="V735" s="5" t="n"/>
      <c r="W735" s="6" t="n"/>
      <c r="X735" s="6" t="n"/>
      <c r="Z735" s="5" t="n"/>
    </row>
    <row r="736">
      <c r="D736" s="5" t="n"/>
      <c r="E736" s="5" t="n"/>
      <c r="F736" s="5" t="n"/>
      <c r="I736">
        <f>VALUE(LEFT($G736,1))*VALUE(LEFT($H736,1))</f>
        <v/>
      </c>
      <c r="J736">
        <f>IF($I736&gt;=20,"Critical",IF($I736&gt;=15,"High",IF($I736&gt;=10,"Medium",IF($I736&gt;=5,"Low",IF($I736&gt;0,"Very Low","")))))</f>
        <v/>
      </c>
      <c r="K736" s="5" t="n"/>
      <c r="O736">
        <f>VALUE(LEFT($M736,1))*VALUE(LEFT($N736,1))</f>
        <v/>
      </c>
      <c r="P736">
        <f>IF($O736&gt;=20,"Critical",IF($O736&gt;=15,"High",IF($O736&gt;=10,"Medium",IF($O736&gt;=5,"Low",IF($O736&gt;0,"Very Low","")))))</f>
        <v/>
      </c>
      <c r="S736" s="5" t="n"/>
      <c r="V736" s="5" t="n"/>
      <c r="W736" s="6" t="n"/>
      <c r="X736" s="6" t="n"/>
      <c r="Z736" s="5" t="n"/>
    </row>
    <row r="737">
      <c r="D737" s="5" t="n"/>
      <c r="E737" s="5" t="n"/>
      <c r="F737" s="5" t="n"/>
      <c r="I737">
        <f>VALUE(LEFT($G737,1))*VALUE(LEFT($H737,1))</f>
        <v/>
      </c>
      <c r="J737">
        <f>IF($I737&gt;=20,"Critical",IF($I737&gt;=15,"High",IF($I737&gt;=10,"Medium",IF($I737&gt;=5,"Low",IF($I737&gt;0,"Very Low","")))))</f>
        <v/>
      </c>
      <c r="K737" s="5" t="n"/>
      <c r="O737">
        <f>VALUE(LEFT($M737,1))*VALUE(LEFT($N737,1))</f>
        <v/>
      </c>
      <c r="P737">
        <f>IF($O737&gt;=20,"Critical",IF($O737&gt;=15,"High",IF($O737&gt;=10,"Medium",IF($O737&gt;=5,"Low",IF($O737&gt;0,"Very Low","")))))</f>
        <v/>
      </c>
      <c r="S737" s="5" t="n"/>
      <c r="V737" s="5" t="n"/>
      <c r="W737" s="6" t="n"/>
      <c r="X737" s="6" t="n"/>
      <c r="Z737" s="5" t="n"/>
    </row>
    <row r="738">
      <c r="D738" s="5" t="n"/>
      <c r="E738" s="5" t="n"/>
      <c r="F738" s="5" t="n"/>
      <c r="I738">
        <f>VALUE(LEFT($G738,1))*VALUE(LEFT($H738,1))</f>
        <v/>
      </c>
      <c r="J738">
        <f>IF($I738&gt;=20,"Critical",IF($I738&gt;=15,"High",IF($I738&gt;=10,"Medium",IF($I738&gt;=5,"Low",IF($I738&gt;0,"Very Low","")))))</f>
        <v/>
      </c>
      <c r="K738" s="5" t="n"/>
      <c r="O738">
        <f>VALUE(LEFT($M738,1))*VALUE(LEFT($N738,1))</f>
        <v/>
      </c>
      <c r="P738">
        <f>IF($O738&gt;=20,"Critical",IF($O738&gt;=15,"High",IF($O738&gt;=10,"Medium",IF($O738&gt;=5,"Low",IF($O738&gt;0,"Very Low","")))))</f>
        <v/>
      </c>
      <c r="S738" s="5" t="n"/>
      <c r="V738" s="5" t="n"/>
      <c r="W738" s="6" t="n"/>
      <c r="X738" s="6" t="n"/>
      <c r="Z738" s="5" t="n"/>
    </row>
    <row r="739">
      <c r="D739" s="5" t="n"/>
      <c r="E739" s="5" t="n"/>
      <c r="F739" s="5" t="n"/>
      <c r="I739">
        <f>VALUE(LEFT($G739,1))*VALUE(LEFT($H739,1))</f>
        <v/>
      </c>
      <c r="J739">
        <f>IF($I739&gt;=20,"Critical",IF($I739&gt;=15,"High",IF($I739&gt;=10,"Medium",IF($I739&gt;=5,"Low",IF($I739&gt;0,"Very Low","")))))</f>
        <v/>
      </c>
      <c r="K739" s="5" t="n"/>
      <c r="O739">
        <f>VALUE(LEFT($M739,1))*VALUE(LEFT($N739,1))</f>
        <v/>
      </c>
      <c r="P739">
        <f>IF($O739&gt;=20,"Critical",IF($O739&gt;=15,"High",IF($O739&gt;=10,"Medium",IF($O739&gt;=5,"Low",IF($O739&gt;0,"Very Low","")))))</f>
        <v/>
      </c>
      <c r="S739" s="5" t="n"/>
      <c r="V739" s="5" t="n"/>
      <c r="W739" s="6" t="n"/>
      <c r="X739" s="6" t="n"/>
      <c r="Z739" s="5" t="n"/>
    </row>
    <row r="740">
      <c r="D740" s="5" t="n"/>
      <c r="E740" s="5" t="n"/>
      <c r="F740" s="5" t="n"/>
      <c r="I740">
        <f>VALUE(LEFT($G740,1))*VALUE(LEFT($H740,1))</f>
        <v/>
      </c>
      <c r="J740">
        <f>IF($I740&gt;=20,"Critical",IF($I740&gt;=15,"High",IF($I740&gt;=10,"Medium",IF($I740&gt;=5,"Low",IF($I740&gt;0,"Very Low","")))))</f>
        <v/>
      </c>
      <c r="K740" s="5" t="n"/>
      <c r="O740">
        <f>VALUE(LEFT($M740,1))*VALUE(LEFT($N740,1))</f>
        <v/>
      </c>
      <c r="P740">
        <f>IF($O740&gt;=20,"Critical",IF($O740&gt;=15,"High",IF($O740&gt;=10,"Medium",IF($O740&gt;=5,"Low",IF($O740&gt;0,"Very Low","")))))</f>
        <v/>
      </c>
      <c r="S740" s="5" t="n"/>
      <c r="V740" s="5" t="n"/>
      <c r="W740" s="6" t="n"/>
      <c r="X740" s="6" t="n"/>
      <c r="Z740" s="5" t="n"/>
    </row>
    <row r="741">
      <c r="D741" s="5" t="n"/>
      <c r="E741" s="5" t="n"/>
      <c r="F741" s="5" t="n"/>
      <c r="I741">
        <f>VALUE(LEFT($G741,1))*VALUE(LEFT($H741,1))</f>
        <v/>
      </c>
      <c r="J741">
        <f>IF($I741&gt;=20,"Critical",IF($I741&gt;=15,"High",IF($I741&gt;=10,"Medium",IF($I741&gt;=5,"Low",IF($I741&gt;0,"Very Low","")))))</f>
        <v/>
      </c>
      <c r="K741" s="5" t="n"/>
      <c r="O741">
        <f>VALUE(LEFT($M741,1))*VALUE(LEFT($N741,1))</f>
        <v/>
      </c>
      <c r="P741">
        <f>IF($O741&gt;=20,"Critical",IF($O741&gt;=15,"High",IF($O741&gt;=10,"Medium",IF($O741&gt;=5,"Low",IF($O741&gt;0,"Very Low","")))))</f>
        <v/>
      </c>
      <c r="S741" s="5" t="n"/>
      <c r="V741" s="5" t="n"/>
      <c r="W741" s="6" t="n"/>
      <c r="X741" s="6" t="n"/>
      <c r="Z741" s="5" t="n"/>
    </row>
    <row r="742">
      <c r="D742" s="5" t="n"/>
      <c r="E742" s="5" t="n"/>
      <c r="F742" s="5" t="n"/>
      <c r="I742">
        <f>VALUE(LEFT($G742,1))*VALUE(LEFT($H742,1))</f>
        <v/>
      </c>
      <c r="J742">
        <f>IF($I742&gt;=20,"Critical",IF($I742&gt;=15,"High",IF($I742&gt;=10,"Medium",IF($I742&gt;=5,"Low",IF($I742&gt;0,"Very Low","")))))</f>
        <v/>
      </c>
      <c r="K742" s="5" t="n"/>
      <c r="O742">
        <f>VALUE(LEFT($M742,1))*VALUE(LEFT($N742,1))</f>
        <v/>
      </c>
      <c r="P742">
        <f>IF($O742&gt;=20,"Critical",IF($O742&gt;=15,"High",IF($O742&gt;=10,"Medium",IF($O742&gt;=5,"Low",IF($O742&gt;0,"Very Low","")))))</f>
        <v/>
      </c>
      <c r="S742" s="5" t="n"/>
      <c r="V742" s="5" t="n"/>
      <c r="W742" s="6" t="n"/>
      <c r="X742" s="6" t="n"/>
      <c r="Z742" s="5" t="n"/>
    </row>
    <row r="743">
      <c r="D743" s="5" t="n"/>
      <c r="E743" s="5" t="n"/>
      <c r="F743" s="5" t="n"/>
      <c r="I743">
        <f>VALUE(LEFT($G743,1))*VALUE(LEFT($H743,1))</f>
        <v/>
      </c>
      <c r="J743">
        <f>IF($I743&gt;=20,"Critical",IF($I743&gt;=15,"High",IF($I743&gt;=10,"Medium",IF($I743&gt;=5,"Low",IF($I743&gt;0,"Very Low","")))))</f>
        <v/>
      </c>
      <c r="K743" s="5" t="n"/>
      <c r="O743">
        <f>VALUE(LEFT($M743,1))*VALUE(LEFT($N743,1))</f>
        <v/>
      </c>
      <c r="P743">
        <f>IF($O743&gt;=20,"Critical",IF($O743&gt;=15,"High",IF($O743&gt;=10,"Medium",IF($O743&gt;=5,"Low",IF($O743&gt;0,"Very Low","")))))</f>
        <v/>
      </c>
      <c r="S743" s="5" t="n"/>
      <c r="V743" s="5" t="n"/>
      <c r="W743" s="6" t="n"/>
      <c r="X743" s="6" t="n"/>
      <c r="Z743" s="5" t="n"/>
    </row>
    <row r="744">
      <c r="D744" s="5" t="n"/>
      <c r="E744" s="5" t="n"/>
      <c r="F744" s="5" t="n"/>
      <c r="I744">
        <f>VALUE(LEFT($G744,1))*VALUE(LEFT($H744,1))</f>
        <v/>
      </c>
      <c r="J744">
        <f>IF($I744&gt;=20,"Critical",IF($I744&gt;=15,"High",IF($I744&gt;=10,"Medium",IF($I744&gt;=5,"Low",IF($I744&gt;0,"Very Low","")))))</f>
        <v/>
      </c>
      <c r="K744" s="5" t="n"/>
      <c r="O744">
        <f>VALUE(LEFT($M744,1))*VALUE(LEFT($N744,1))</f>
        <v/>
      </c>
      <c r="P744">
        <f>IF($O744&gt;=20,"Critical",IF($O744&gt;=15,"High",IF($O744&gt;=10,"Medium",IF($O744&gt;=5,"Low",IF($O744&gt;0,"Very Low","")))))</f>
        <v/>
      </c>
      <c r="S744" s="5" t="n"/>
      <c r="V744" s="5" t="n"/>
      <c r="W744" s="6" t="n"/>
      <c r="X744" s="6" t="n"/>
      <c r="Z744" s="5" t="n"/>
    </row>
    <row r="745">
      <c r="D745" s="5" t="n"/>
      <c r="E745" s="5" t="n"/>
      <c r="F745" s="5" t="n"/>
      <c r="I745">
        <f>VALUE(LEFT($G745,1))*VALUE(LEFT($H745,1))</f>
        <v/>
      </c>
      <c r="J745">
        <f>IF($I745&gt;=20,"Critical",IF($I745&gt;=15,"High",IF($I745&gt;=10,"Medium",IF($I745&gt;=5,"Low",IF($I745&gt;0,"Very Low","")))))</f>
        <v/>
      </c>
      <c r="K745" s="5" t="n"/>
      <c r="O745">
        <f>VALUE(LEFT($M745,1))*VALUE(LEFT($N745,1))</f>
        <v/>
      </c>
      <c r="P745">
        <f>IF($O745&gt;=20,"Critical",IF($O745&gt;=15,"High",IF($O745&gt;=10,"Medium",IF($O745&gt;=5,"Low",IF($O745&gt;0,"Very Low","")))))</f>
        <v/>
      </c>
      <c r="S745" s="5" t="n"/>
      <c r="V745" s="5" t="n"/>
      <c r="W745" s="6" t="n"/>
      <c r="X745" s="6" t="n"/>
      <c r="Z745" s="5" t="n"/>
    </row>
    <row r="746">
      <c r="D746" s="5" t="n"/>
      <c r="E746" s="5" t="n"/>
      <c r="F746" s="5" t="n"/>
      <c r="I746">
        <f>VALUE(LEFT($G746,1))*VALUE(LEFT($H746,1))</f>
        <v/>
      </c>
      <c r="J746">
        <f>IF($I746&gt;=20,"Critical",IF($I746&gt;=15,"High",IF($I746&gt;=10,"Medium",IF($I746&gt;=5,"Low",IF($I746&gt;0,"Very Low","")))))</f>
        <v/>
      </c>
      <c r="K746" s="5" t="n"/>
      <c r="O746">
        <f>VALUE(LEFT($M746,1))*VALUE(LEFT($N746,1))</f>
        <v/>
      </c>
      <c r="P746">
        <f>IF($O746&gt;=20,"Critical",IF($O746&gt;=15,"High",IF($O746&gt;=10,"Medium",IF($O746&gt;=5,"Low",IF($O746&gt;0,"Very Low","")))))</f>
        <v/>
      </c>
      <c r="S746" s="5" t="n"/>
      <c r="V746" s="5" t="n"/>
      <c r="W746" s="6" t="n"/>
      <c r="X746" s="6" t="n"/>
      <c r="Z746" s="5" t="n"/>
    </row>
    <row r="747">
      <c r="D747" s="5" t="n"/>
      <c r="E747" s="5" t="n"/>
      <c r="F747" s="5" t="n"/>
      <c r="I747">
        <f>VALUE(LEFT($G747,1))*VALUE(LEFT($H747,1))</f>
        <v/>
      </c>
      <c r="J747">
        <f>IF($I747&gt;=20,"Critical",IF($I747&gt;=15,"High",IF($I747&gt;=10,"Medium",IF($I747&gt;=5,"Low",IF($I747&gt;0,"Very Low","")))))</f>
        <v/>
      </c>
      <c r="K747" s="5" t="n"/>
      <c r="O747">
        <f>VALUE(LEFT($M747,1))*VALUE(LEFT($N747,1))</f>
        <v/>
      </c>
      <c r="P747">
        <f>IF($O747&gt;=20,"Critical",IF($O747&gt;=15,"High",IF($O747&gt;=10,"Medium",IF($O747&gt;=5,"Low",IF($O747&gt;0,"Very Low","")))))</f>
        <v/>
      </c>
      <c r="S747" s="5" t="n"/>
      <c r="V747" s="5" t="n"/>
      <c r="W747" s="6" t="n"/>
      <c r="X747" s="6" t="n"/>
      <c r="Z747" s="5" t="n"/>
    </row>
    <row r="748">
      <c r="D748" s="5" t="n"/>
      <c r="E748" s="5" t="n"/>
      <c r="F748" s="5" t="n"/>
      <c r="I748">
        <f>VALUE(LEFT($G748,1))*VALUE(LEFT($H748,1))</f>
        <v/>
      </c>
      <c r="J748">
        <f>IF($I748&gt;=20,"Critical",IF($I748&gt;=15,"High",IF($I748&gt;=10,"Medium",IF($I748&gt;=5,"Low",IF($I748&gt;0,"Very Low","")))))</f>
        <v/>
      </c>
      <c r="K748" s="5" t="n"/>
      <c r="O748">
        <f>VALUE(LEFT($M748,1))*VALUE(LEFT($N748,1))</f>
        <v/>
      </c>
      <c r="P748">
        <f>IF($O748&gt;=20,"Critical",IF($O748&gt;=15,"High",IF($O748&gt;=10,"Medium",IF($O748&gt;=5,"Low",IF($O748&gt;0,"Very Low","")))))</f>
        <v/>
      </c>
      <c r="S748" s="5" t="n"/>
      <c r="V748" s="5" t="n"/>
      <c r="W748" s="6" t="n"/>
      <c r="X748" s="6" t="n"/>
      <c r="Z748" s="5" t="n"/>
    </row>
    <row r="749">
      <c r="D749" s="5" t="n"/>
      <c r="E749" s="5" t="n"/>
      <c r="F749" s="5" t="n"/>
      <c r="I749">
        <f>VALUE(LEFT($G749,1))*VALUE(LEFT($H749,1))</f>
        <v/>
      </c>
      <c r="J749">
        <f>IF($I749&gt;=20,"Critical",IF($I749&gt;=15,"High",IF($I749&gt;=10,"Medium",IF($I749&gt;=5,"Low",IF($I749&gt;0,"Very Low","")))))</f>
        <v/>
      </c>
      <c r="K749" s="5" t="n"/>
      <c r="O749">
        <f>VALUE(LEFT($M749,1))*VALUE(LEFT($N749,1))</f>
        <v/>
      </c>
      <c r="P749">
        <f>IF($O749&gt;=20,"Critical",IF($O749&gt;=15,"High",IF($O749&gt;=10,"Medium",IF($O749&gt;=5,"Low",IF($O749&gt;0,"Very Low","")))))</f>
        <v/>
      </c>
      <c r="S749" s="5" t="n"/>
      <c r="V749" s="5" t="n"/>
      <c r="W749" s="6" t="n"/>
      <c r="X749" s="6" t="n"/>
      <c r="Z749" s="5" t="n"/>
    </row>
    <row r="750">
      <c r="D750" s="5" t="n"/>
      <c r="E750" s="5" t="n"/>
      <c r="F750" s="5" t="n"/>
      <c r="I750">
        <f>VALUE(LEFT($G750,1))*VALUE(LEFT($H750,1))</f>
        <v/>
      </c>
      <c r="J750">
        <f>IF($I750&gt;=20,"Critical",IF($I750&gt;=15,"High",IF($I750&gt;=10,"Medium",IF($I750&gt;=5,"Low",IF($I750&gt;0,"Very Low","")))))</f>
        <v/>
      </c>
      <c r="K750" s="5" t="n"/>
      <c r="O750">
        <f>VALUE(LEFT($M750,1))*VALUE(LEFT($N750,1))</f>
        <v/>
      </c>
      <c r="P750">
        <f>IF($O750&gt;=20,"Critical",IF($O750&gt;=15,"High",IF($O750&gt;=10,"Medium",IF($O750&gt;=5,"Low",IF($O750&gt;0,"Very Low","")))))</f>
        <v/>
      </c>
      <c r="S750" s="5" t="n"/>
      <c r="V750" s="5" t="n"/>
      <c r="W750" s="6" t="n"/>
      <c r="X750" s="6" t="n"/>
      <c r="Z750" s="5" t="n"/>
    </row>
    <row r="751">
      <c r="D751" s="5" t="n"/>
      <c r="E751" s="5" t="n"/>
      <c r="F751" s="5" t="n"/>
      <c r="I751">
        <f>VALUE(LEFT($G751,1))*VALUE(LEFT($H751,1))</f>
        <v/>
      </c>
      <c r="J751">
        <f>IF($I751&gt;=20,"Critical",IF($I751&gt;=15,"High",IF($I751&gt;=10,"Medium",IF($I751&gt;=5,"Low",IF($I751&gt;0,"Very Low","")))))</f>
        <v/>
      </c>
      <c r="K751" s="5" t="n"/>
      <c r="O751">
        <f>VALUE(LEFT($M751,1))*VALUE(LEFT($N751,1))</f>
        <v/>
      </c>
      <c r="P751">
        <f>IF($O751&gt;=20,"Critical",IF($O751&gt;=15,"High",IF($O751&gt;=10,"Medium",IF($O751&gt;=5,"Low",IF($O751&gt;0,"Very Low","")))))</f>
        <v/>
      </c>
      <c r="S751" s="5" t="n"/>
      <c r="V751" s="5" t="n"/>
      <c r="W751" s="6" t="n"/>
      <c r="X751" s="6" t="n"/>
      <c r="Z751" s="5" t="n"/>
    </row>
    <row r="752">
      <c r="D752" s="5" t="n"/>
      <c r="E752" s="5" t="n"/>
      <c r="F752" s="5" t="n"/>
      <c r="I752">
        <f>VALUE(LEFT($G752,1))*VALUE(LEFT($H752,1))</f>
        <v/>
      </c>
      <c r="J752">
        <f>IF($I752&gt;=20,"Critical",IF($I752&gt;=15,"High",IF($I752&gt;=10,"Medium",IF($I752&gt;=5,"Low",IF($I752&gt;0,"Very Low","")))))</f>
        <v/>
      </c>
      <c r="K752" s="5" t="n"/>
      <c r="O752">
        <f>VALUE(LEFT($M752,1))*VALUE(LEFT($N752,1))</f>
        <v/>
      </c>
      <c r="P752">
        <f>IF($O752&gt;=20,"Critical",IF($O752&gt;=15,"High",IF($O752&gt;=10,"Medium",IF($O752&gt;=5,"Low",IF($O752&gt;0,"Very Low","")))))</f>
        <v/>
      </c>
      <c r="S752" s="5" t="n"/>
      <c r="V752" s="5" t="n"/>
      <c r="W752" s="6" t="n"/>
      <c r="X752" s="6" t="n"/>
      <c r="Z752" s="5" t="n"/>
    </row>
    <row r="753">
      <c r="D753" s="5" t="n"/>
      <c r="E753" s="5" t="n"/>
      <c r="F753" s="5" t="n"/>
      <c r="I753">
        <f>VALUE(LEFT($G753,1))*VALUE(LEFT($H753,1))</f>
        <v/>
      </c>
      <c r="J753">
        <f>IF($I753&gt;=20,"Critical",IF($I753&gt;=15,"High",IF($I753&gt;=10,"Medium",IF($I753&gt;=5,"Low",IF($I753&gt;0,"Very Low","")))))</f>
        <v/>
      </c>
      <c r="K753" s="5" t="n"/>
      <c r="O753">
        <f>VALUE(LEFT($M753,1))*VALUE(LEFT($N753,1))</f>
        <v/>
      </c>
      <c r="P753">
        <f>IF($O753&gt;=20,"Critical",IF($O753&gt;=15,"High",IF($O753&gt;=10,"Medium",IF($O753&gt;=5,"Low",IF($O753&gt;0,"Very Low","")))))</f>
        <v/>
      </c>
      <c r="S753" s="5" t="n"/>
      <c r="V753" s="5" t="n"/>
      <c r="W753" s="6" t="n"/>
      <c r="X753" s="6" t="n"/>
      <c r="Z753" s="5" t="n"/>
    </row>
    <row r="754">
      <c r="D754" s="5" t="n"/>
      <c r="E754" s="5" t="n"/>
      <c r="F754" s="5" t="n"/>
      <c r="I754">
        <f>VALUE(LEFT($G754,1))*VALUE(LEFT($H754,1))</f>
        <v/>
      </c>
      <c r="J754">
        <f>IF($I754&gt;=20,"Critical",IF($I754&gt;=15,"High",IF($I754&gt;=10,"Medium",IF($I754&gt;=5,"Low",IF($I754&gt;0,"Very Low","")))))</f>
        <v/>
      </c>
      <c r="K754" s="5" t="n"/>
      <c r="O754">
        <f>VALUE(LEFT($M754,1))*VALUE(LEFT($N754,1))</f>
        <v/>
      </c>
      <c r="P754">
        <f>IF($O754&gt;=20,"Critical",IF($O754&gt;=15,"High",IF($O754&gt;=10,"Medium",IF($O754&gt;=5,"Low",IF($O754&gt;0,"Very Low","")))))</f>
        <v/>
      </c>
      <c r="S754" s="5" t="n"/>
      <c r="V754" s="5" t="n"/>
      <c r="W754" s="6" t="n"/>
      <c r="X754" s="6" t="n"/>
      <c r="Z754" s="5" t="n"/>
    </row>
    <row r="755">
      <c r="D755" s="5" t="n"/>
      <c r="E755" s="5" t="n"/>
      <c r="F755" s="5" t="n"/>
      <c r="I755">
        <f>VALUE(LEFT($G755,1))*VALUE(LEFT($H755,1))</f>
        <v/>
      </c>
      <c r="J755">
        <f>IF($I755&gt;=20,"Critical",IF($I755&gt;=15,"High",IF($I755&gt;=10,"Medium",IF($I755&gt;=5,"Low",IF($I755&gt;0,"Very Low","")))))</f>
        <v/>
      </c>
      <c r="K755" s="5" t="n"/>
      <c r="O755">
        <f>VALUE(LEFT($M755,1))*VALUE(LEFT($N755,1))</f>
        <v/>
      </c>
      <c r="P755">
        <f>IF($O755&gt;=20,"Critical",IF($O755&gt;=15,"High",IF($O755&gt;=10,"Medium",IF($O755&gt;=5,"Low",IF($O755&gt;0,"Very Low","")))))</f>
        <v/>
      </c>
      <c r="S755" s="5" t="n"/>
      <c r="V755" s="5" t="n"/>
      <c r="W755" s="6" t="n"/>
      <c r="X755" s="6" t="n"/>
      <c r="Z755" s="5" t="n"/>
    </row>
    <row r="756">
      <c r="D756" s="5" t="n"/>
      <c r="E756" s="5" t="n"/>
      <c r="F756" s="5" t="n"/>
      <c r="I756">
        <f>VALUE(LEFT($G756,1))*VALUE(LEFT($H756,1))</f>
        <v/>
      </c>
      <c r="J756">
        <f>IF($I756&gt;=20,"Critical",IF($I756&gt;=15,"High",IF($I756&gt;=10,"Medium",IF($I756&gt;=5,"Low",IF($I756&gt;0,"Very Low","")))))</f>
        <v/>
      </c>
      <c r="K756" s="5" t="n"/>
      <c r="O756">
        <f>VALUE(LEFT($M756,1))*VALUE(LEFT($N756,1))</f>
        <v/>
      </c>
      <c r="P756">
        <f>IF($O756&gt;=20,"Critical",IF($O756&gt;=15,"High",IF($O756&gt;=10,"Medium",IF($O756&gt;=5,"Low",IF($O756&gt;0,"Very Low","")))))</f>
        <v/>
      </c>
      <c r="S756" s="5" t="n"/>
      <c r="V756" s="5" t="n"/>
      <c r="W756" s="6" t="n"/>
      <c r="X756" s="6" t="n"/>
      <c r="Z756" s="5" t="n"/>
    </row>
    <row r="757">
      <c r="D757" s="5" t="n"/>
      <c r="E757" s="5" t="n"/>
      <c r="F757" s="5" t="n"/>
      <c r="I757">
        <f>VALUE(LEFT($G757,1))*VALUE(LEFT($H757,1))</f>
        <v/>
      </c>
      <c r="J757">
        <f>IF($I757&gt;=20,"Critical",IF($I757&gt;=15,"High",IF($I757&gt;=10,"Medium",IF($I757&gt;=5,"Low",IF($I757&gt;0,"Very Low","")))))</f>
        <v/>
      </c>
      <c r="K757" s="5" t="n"/>
      <c r="O757">
        <f>VALUE(LEFT($M757,1))*VALUE(LEFT($N757,1))</f>
        <v/>
      </c>
      <c r="P757">
        <f>IF($O757&gt;=20,"Critical",IF($O757&gt;=15,"High",IF($O757&gt;=10,"Medium",IF($O757&gt;=5,"Low",IF($O757&gt;0,"Very Low","")))))</f>
        <v/>
      </c>
      <c r="S757" s="5" t="n"/>
      <c r="V757" s="5" t="n"/>
      <c r="W757" s="6" t="n"/>
      <c r="X757" s="6" t="n"/>
      <c r="Z757" s="5" t="n"/>
    </row>
    <row r="758">
      <c r="D758" s="5" t="n"/>
      <c r="E758" s="5" t="n"/>
      <c r="F758" s="5" t="n"/>
      <c r="I758">
        <f>VALUE(LEFT($G758,1))*VALUE(LEFT($H758,1))</f>
        <v/>
      </c>
      <c r="J758">
        <f>IF($I758&gt;=20,"Critical",IF($I758&gt;=15,"High",IF($I758&gt;=10,"Medium",IF($I758&gt;=5,"Low",IF($I758&gt;0,"Very Low","")))))</f>
        <v/>
      </c>
      <c r="K758" s="5" t="n"/>
      <c r="O758">
        <f>VALUE(LEFT($M758,1))*VALUE(LEFT($N758,1))</f>
        <v/>
      </c>
      <c r="P758">
        <f>IF($O758&gt;=20,"Critical",IF($O758&gt;=15,"High",IF($O758&gt;=10,"Medium",IF($O758&gt;=5,"Low",IF($O758&gt;0,"Very Low","")))))</f>
        <v/>
      </c>
      <c r="S758" s="5" t="n"/>
      <c r="V758" s="5" t="n"/>
      <c r="W758" s="6" t="n"/>
      <c r="X758" s="6" t="n"/>
      <c r="Z758" s="5" t="n"/>
    </row>
    <row r="759">
      <c r="D759" s="5" t="n"/>
      <c r="E759" s="5" t="n"/>
      <c r="F759" s="5" t="n"/>
      <c r="I759">
        <f>VALUE(LEFT($G759,1))*VALUE(LEFT($H759,1))</f>
        <v/>
      </c>
      <c r="J759">
        <f>IF($I759&gt;=20,"Critical",IF($I759&gt;=15,"High",IF($I759&gt;=10,"Medium",IF($I759&gt;=5,"Low",IF($I759&gt;0,"Very Low","")))))</f>
        <v/>
      </c>
      <c r="K759" s="5" t="n"/>
      <c r="O759">
        <f>VALUE(LEFT($M759,1))*VALUE(LEFT($N759,1))</f>
        <v/>
      </c>
      <c r="P759">
        <f>IF($O759&gt;=20,"Critical",IF($O759&gt;=15,"High",IF($O759&gt;=10,"Medium",IF($O759&gt;=5,"Low",IF($O759&gt;0,"Very Low","")))))</f>
        <v/>
      </c>
      <c r="S759" s="5" t="n"/>
      <c r="V759" s="5" t="n"/>
      <c r="W759" s="6" t="n"/>
      <c r="X759" s="6" t="n"/>
      <c r="Z759" s="5" t="n"/>
    </row>
    <row r="760">
      <c r="D760" s="5" t="n"/>
      <c r="E760" s="5" t="n"/>
      <c r="F760" s="5" t="n"/>
      <c r="I760">
        <f>VALUE(LEFT($G760,1))*VALUE(LEFT($H760,1))</f>
        <v/>
      </c>
      <c r="J760">
        <f>IF($I760&gt;=20,"Critical",IF($I760&gt;=15,"High",IF($I760&gt;=10,"Medium",IF($I760&gt;=5,"Low",IF($I760&gt;0,"Very Low","")))))</f>
        <v/>
      </c>
      <c r="K760" s="5" t="n"/>
      <c r="O760">
        <f>VALUE(LEFT($M760,1))*VALUE(LEFT($N760,1))</f>
        <v/>
      </c>
      <c r="P760">
        <f>IF($O760&gt;=20,"Critical",IF($O760&gt;=15,"High",IF($O760&gt;=10,"Medium",IF($O760&gt;=5,"Low",IF($O760&gt;0,"Very Low","")))))</f>
        <v/>
      </c>
      <c r="S760" s="5" t="n"/>
      <c r="V760" s="5" t="n"/>
      <c r="W760" s="6" t="n"/>
      <c r="X760" s="6" t="n"/>
      <c r="Z760" s="5" t="n"/>
    </row>
    <row r="761">
      <c r="D761" s="5" t="n"/>
      <c r="E761" s="5" t="n"/>
      <c r="F761" s="5" t="n"/>
      <c r="I761">
        <f>VALUE(LEFT($G761,1))*VALUE(LEFT($H761,1))</f>
        <v/>
      </c>
      <c r="J761">
        <f>IF($I761&gt;=20,"Critical",IF($I761&gt;=15,"High",IF($I761&gt;=10,"Medium",IF($I761&gt;=5,"Low",IF($I761&gt;0,"Very Low","")))))</f>
        <v/>
      </c>
      <c r="K761" s="5" t="n"/>
      <c r="O761">
        <f>VALUE(LEFT($M761,1))*VALUE(LEFT($N761,1))</f>
        <v/>
      </c>
      <c r="P761">
        <f>IF($O761&gt;=20,"Critical",IF($O761&gt;=15,"High",IF($O761&gt;=10,"Medium",IF($O761&gt;=5,"Low",IF($O761&gt;0,"Very Low","")))))</f>
        <v/>
      </c>
      <c r="S761" s="5" t="n"/>
      <c r="V761" s="5" t="n"/>
      <c r="W761" s="6" t="n"/>
      <c r="X761" s="6" t="n"/>
      <c r="Z761" s="5" t="n"/>
    </row>
    <row r="762">
      <c r="D762" s="5" t="n"/>
      <c r="E762" s="5" t="n"/>
      <c r="F762" s="5" t="n"/>
      <c r="I762">
        <f>VALUE(LEFT($G762,1))*VALUE(LEFT($H762,1))</f>
        <v/>
      </c>
      <c r="J762">
        <f>IF($I762&gt;=20,"Critical",IF($I762&gt;=15,"High",IF($I762&gt;=10,"Medium",IF($I762&gt;=5,"Low",IF($I762&gt;0,"Very Low","")))))</f>
        <v/>
      </c>
      <c r="K762" s="5" t="n"/>
      <c r="O762">
        <f>VALUE(LEFT($M762,1))*VALUE(LEFT($N762,1))</f>
        <v/>
      </c>
      <c r="P762">
        <f>IF($O762&gt;=20,"Critical",IF($O762&gt;=15,"High",IF($O762&gt;=10,"Medium",IF($O762&gt;=5,"Low",IF($O762&gt;0,"Very Low","")))))</f>
        <v/>
      </c>
      <c r="S762" s="5" t="n"/>
      <c r="V762" s="5" t="n"/>
      <c r="W762" s="6" t="n"/>
      <c r="X762" s="6" t="n"/>
      <c r="Z762" s="5" t="n"/>
    </row>
    <row r="763">
      <c r="D763" s="5" t="n"/>
      <c r="E763" s="5" t="n"/>
      <c r="F763" s="5" t="n"/>
      <c r="I763">
        <f>VALUE(LEFT($G763,1))*VALUE(LEFT($H763,1))</f>
        <v/>
      </c>
      <c r="J763">
        <f>IF($I763&gt;=20,"Critical",IF($I763&gt;=15,"High",IF($I763&gt;=10,"Medium",IF($I763&gt;=5,"Low",IF($I763&gt;0,"Very Low","")))))</f>
        <v/>
      </c>
      <c r="K763" s="5" t="n"/>
      <c r="O763">
        <f>VALUE(LEFT($M763,1))*VALUE(LEFT($N763,1))</f>
        <v/>
      </c>
      <c r="P763">
        <f>IF($O763&gt;=20,"Critical",IF($O763&gt;=15,"High",IF($O763&gt;=10,"Medium",IF($O763&gt;=5,"Low",IF($O763&gt;0,"Very Low","")))))</f>
        <v/>
      </c>
      <c r="S763" s="5" t="n"/>
      <c r="V763" s="5" t="n"/>
      <c r="W763" s="6" t="n"/>
      <c r="X763" s="6" t="n"/>
      <c r="Z763" s="5" t="n"/>
    </row>
    <row r="764">
      <c r="D764" s="5" t="n"/>
      <c r="E764" s="5" t="n"/>
      <c r="F764" s="5" t="n"/>
      <c r="I764">
        <f>VALUE(LEFT($G764,1))*VALUE(LEFT($H764,1))</f>
        <v/>
      </c>
      <c r="J764">
        <f>IF($I764&gt;=20,"Critical",IF($I764&gt;=15,"High",IF($I764&gt;=10,"Medium",IF($I764&gt;=5,"Low",IF($I764&gt;0,"Very Low","")))))</f>
        <v/>
      </c>
      <c r="K764" s="5" t="n"/>
      <c r="O764">
        <f>VALUE(LEFT($M764,1))*VALUE(LEFT($N764,1))</f>
        <v/>
      </c>
      <c r="P764">
        <f>IF($O764&gt;=20,"Critical",IF($O764&gt;=15,"High",IF($O764&gt;=10,"Medium",IF($O764&gt;=5,"Low",IF($O764&gt;0,"Very Low","")))))</f>
        <v/>
      </c>
      <c r="S764" s="5" t="n"/>
      <c r="V764" s="5" t="n"/>
      <c r="W764" s="6" t="n"/>
      <c r="X764" s="6" t="n"/>
      <c r="Z764" s="5" t="n"/>
    </row>
    <row r="765">
      <c r="D765" s="5" t="n"/>
      <c r="E765" s="5" t="n"/>
      <c r="F765" s="5" t="n"/>
      <c r="I765">
        <f>VALUE(LEFT($G765,1))*VALUE(LEFT($H765,1))</f>
        <v/>
      </c>
      <c r="J765">
        <f>IF($I765&gt;=20,"Critical",IF($I765&gt;=15,"High",IF($I765&gt;=10,"Medium",IF($I765&gt;=5,"Low",IF($I765&gt;0,"Very Low","")))))</f>
        <v/>
      </c>
      <c r="K765" s="5" t="n"/>
      <c r="O765">
        <f>VALUE(LEFT($M765,1))*VALUE(LEFT($N765,1))</f>
        <v/>
      </c>
      <c r="P765">
        <f>IF($O765&gt;=20,"Critical",IF($O765&gt;=15,"High",IF($O765&gt;=10,"Medium",IF($O765&gt;=5,"Low",IF($O765&gt;0,"Very Low","")))))</f>
        <v/>
      </c>
      <c r="S765" s="5" t="n"/>
      <c r="V765" s="5" t="n"/>
      <c r="W765" s="6" t="n"/>
      <c r="X765" s="6" t="n"/>
      <c r="Z765" s="5" t="n"/>
    </row>
    <row r="766">
      <c r="D766" s="5" t="n"/>
      <c r="E766" s="5" t="n"/>
      <c r="F766" s="5" t="n"/>
      <c r="I766">
        <f>VALUE(LEFT($G766,1))*VALUE(LEFT($H766,1))</f>
        <v/>
      </c>
      <c r="J766">
        <f>IF($I766&gt;=20,"Critical",IF($I766&gt;=15,"High",IF($I766&gt;=10,"Medium",IF($I766&gt;=5,"Low",IF($I766&gt;0,"Very Low","")))))</f>
        <v/>
      </c>
      <c r="K766" s="5" t="n"/>
      <c r="O766">
        <f>VALUE(LEFT($M766,1))*VALUE(LEFT($N766,1))</f>
        <v/>
      </c>
      <c r="P766">
        <f>IF($O766&gt;=20,"Critical",IF($O766&gt;=15,"High",IF($O766&gt;=10,"Medium",IF($O766&gt;=5,"Low",IF($O766&gt;0,"Very Low","")))))</f>
        <v/>
      </c>
      <c r="S766" s="5" t="n"/>
      <c r="V766" s="5" t="n"/>
      <c r="W766" s="6" t="n"/>
      <c r="X766" s="6" t="n"/>
      <c r="Z766" s="5" t="n"/>
    </row>
    <row r="767">
      <c r="D767" s="5" t="n"/>
      <c r="E767" s="5" t="n"/>
      <c r="F767" s="5" t="n"/>
      <c r="I767">
        <f>VALUE(LEFT($G767,1))*VALUE(LEFT($H767,1))</f>
        <v/>
      </c>
      <c r="J767">
        <f>IF($I767&gt;=20,"Critical",IF($I767&gt;=15,"High",IF($I767&gt;=10,"Medium",IF($I767&gt;=5,"Low",IF($I767&gt;0,"Very Low","")))))</f>
        <v/>
      </c>
      <c r="K767" s="5" t="n"/>
      <c r="O767">
        <f>VALUE(LEFT($M767,1))*VALUE(LEFT($N767,1))</f>
        <v/>
      </c>
      <c r="P767">
        <f>IF($O767&gt;=20,"Critical",IF($O767&gt;=15,"High",IF($O767&gt;=10,"Medium",IF($O767&gt;=5,"Low",IF($O767&gt;0,"Very Low","")))))</f>
        <v/>
      </c>
      <c r="S767" s="5" t="n"/>
      <c r="V767" s="5" t="n"/>
      <c r="W767" s="6" t="n"/>
      <c r="X767" s="6" t="n"/>
      <c r="Z767" s="5" t="n"/>
    </row>
    <row r="768">
      <c r="D768" s="5" t="n"/>
      <c r="E768" s="5" t="n"/>
      <c r="F768" s="5" t="n"/>
      <c r="I768">
        <f>VALUE(LEFT($G768,1))*VALUE(LEFT($H768,1))</f>
        <v/>
      </c>
      <c r="J768">
        <f>IF($I768&gt;=20,"Critical",IF($I768&gt;=15,"High",IF($I768&gt;=10,"Medium",IF($I768&gt;=5,"Low",IF($I768&gt;0,"Very Low","")))))</f>
        <v/>
      </c>
      <c r="K768" s="5" t="n"/>
      <c r="O768">
        <f>VALUE(LEFT($M768,1))*VALUE(LEFT($N768,1))</f>
        <v/>
      </c>
      <c r="P768">
        <f>IF($O768&gt;=20,"Critical",IF($O768&gt;=15,"High",IF($O768&gt;=10,"Medium",IF($O768&gt;=5,"Low",IF($O768&gt;0,"Very Low","")))))</f>
        <v/>
      </c>
      <c r="S768" s="5" t="n"/>
      <c r="V768" s="5" t="n"/>
      <c r="W768" s="6" t="n"/>
      <c r="X768" s="6" t="n"/>
      <c r="Z768" s="5" t="n"/>
    </row>
    <row r="769">
      <c r="D769" s="5" t="n"/>
      <c r="E769" s="5" t="n"/>
      <c r="F769" s="5" t="n"/>
      <c r="I769">
        <f>VALUE(LEFT($G769,1))*VALUE(LEFT($H769,1))</f>
        <v/>
      </c>
      <c r="J769">
        <f>IF($I769&gt;=20,"Critical",IF($I769&gt;=15,"High",IF($I769&gt;=10,"Medium",IF($I769&gt;=5,"Low",IF($I769&gt;0,"Very Low","")))))</f>
        <v/>
      </c>
      <c r="K769" s="5" t="n"/>
      <c r="O769">
        <f>VALUE(LEFT($M769,1))*VALUE(LEFT($N769,1))</f>
        <v/>
      </c>
      <c r="P769">
        <f>IF($O769&gt;=20,"Critical",IF($O769&gt;=15,"High",IF($O769&gt;=10,"Medium",IF($O769&gt;=5,"Low",IF($O769&gt;0,"Very Low","")))))</f>
        <v/>
      </c>
      <c r="S769" s="5" t="n"/>
      <c r="V769" s="5" t="n"/>
      <c r="W769" s="6" t="n"/>
      <c r="X769" s="6" t="n"/>
      <c r="Z769" s="5" t="n"/>
    </row>
    <row r="770">
      <c r="D770" s="5" t="n"/>
      <c r="E770" s="5" t="n"/>
      <c r="F770" s="5" t="n"/>
      <c r="I770">
        <f>VALUE(LEFT($G770,1))*VALUE(LEFT($H770,1))</f>
        <v/>
      </c>
      <c r="J770">
        <f>IF($I770&gt;=20,"Critical",IF($I770&gt;=15,"High",IF($I770&gt;=10,"Medium",IF($I770&gt;=5,"Low",IF($I770&gt;0,"Very Low","")))))</f>
        <v/>
      </c>
      <c r="K770" s="5" t="n"/>
      <c r="O770">
        <f>VALUE(LEFT($M770,1))*VALUE(LEFT($N770,1))</f>
        <v/>
      </c>
      <c r="P770">
        <f>IF($O770&gt;=20,"Critical",IF($O770&gt;=15,"High",IF($O770&gt;=10,"Medium",IF($O770&gt;=5,"Low",IF($O770&gt;0,"Very Low","")))))</f>
        <v/>
      </c>
      <c r="S770" s="5" t="n"/>
      <c r="V770" s="5" t="n"/>
      <c r="W770" s="6" t="n"/>
      <c r="X770" s="6" t="n"/>
      <c r="Z770" s="5" t="n"/>
    </row>
    <row r="771">
      <c r="D771" s="5" t="n"/>
      <c r="E771" s="5" t="n"/>
      <c r="F771" s="5" t="n"/>
      <c r="I771">
        <f>VALUE(LEFT($G771,1))*VALUE(LEFT($H771,1))</f>
        <v/>
      </c>
      <c r="J771">
        <f>IF($I771&gt;=20,"Critical",IF($I771&gt;=15,"High",IF($I771&gt;=10,"Medium",IF($I771&gt;=5,"Low",IF($I771&gt;0,"Very Low","")))))</f>
        <v/>
      </c>
      <c r="K771" s="5" t="n"/>
      <c r="O771">
        <f>VALUE(LEFT($M771,1))*VALUE(LEFT($N771,1))</f>
        <v/>
      </c>
      <c r="P771">
        <f>IF($O771&gt;=20,"Critical",IF($O771&gt;=15,"High",IF($O771&gt;=10,"Medium",IF($O771&gt;=5,"Low",IF($O771&gt;0,"Very Low","")))))</f>
        <v/>
      </c>
      <c r="S771" s="5" t="n"/>
      <c r="V771" s="5" t="n"/>
      <c r="W771" s="6" t="n"/>
      <c r="X771" s="6" t="n"/>
      <c r="Z771" s="5" t="n"/>
    </row>
    <row r="772">
      <c r="D772" s="5" t="n"/>
      <c r="E772" s="5" t="n"/>
      <c r="F772" s="5" t="n"/>
      <c r="I772">
        <f>VALUE(LEFT($G772,1))*VALUE(LEFT($H772,1))</f>
        <v/>
      </c>
      <c r="J772">
        <f>IF($I772&gt;=20,"Critical",IF($I772&gt;=15,"High",IF($I772&gt;=10,"Medium",IF($I772&gt;=5,"Low",IF($I772&gt;0,"Very Low","")))))</f>
        <v/>
      </c>
      <c r="K772" s="5" t="n"/>
      <c r="O772">
        <f>VALUE(LEFT($M772,1))*VALUE(LEFT($N772,1))</f>
        <v/>
      </c>
      <c r="P772">
        <f>IF($O772&gt;=20,"Critical",IF($O772&gt;=15,"High",IF($O772&gt;=10,"Medium",IF($O772&gt;=5,"Low",IF($O772&gt;0,"Very Low","")))))</f>
        <v/>
      </c>
      <c r="S772" s="5" t="n"/>
      <c r="V772" s="5" t="n"/>
      <c r="W772" s="6" t="n"/>
      <c r="X772" s="6" t="n"/>
      <c r="Z772" s="5" t="n"/>
    </row>
    <row r="773">
      <c r="D773" s="5" t="n"/>
      <c r="E773" s="5" t="n"/>
      <c r="F773" s="5" t="n"/>
      <c r="I773">
        <f>VALUE(LEFT($G773,1))*VALUE(LEFT($H773,1))</f>
        <v/>
      </c>
      <c r="J773">
        <f>IF($I773&gt;=20,"Critical",IF($I773&gt;=15,"High",IF($I773&gt;=10,"Medium",IF($I773&gt;=5,"Low",IF($I773&gt;0,"Very Low","")))))</f>
        <v/>
      </c>
      <c r="K773" s="5" t="n"/>
      <c r="O773">
        <f>VALUE(LEFT($M773,1))*VALUE(LEFT($N773,1))</f>
        <v/>
      </c>
      <c r="P773">
        <f>IF($O773&gt;=20,"Critical",IF($O773&gt;=15,"High",IF($O773&gt;=10,"Medium",IF($O773&gt;=5,"Low",IF($O773&gt;0,"Very Low","")))))</f>
        <v/>
      </c>
      <c r="S773" s="5" t="n"/>
      <c r="V773" s="5" t="n"/>
      <c r="W773" s="6" t="n"/>
      <c r="X773" s="6" t="n"/>
      <c r="Z773" s="5" t="n"/>
    </row>
    <row r="774">
      <c r="D774" s="5" t="n"/>
      <c r="E774" s="5" t="n"/>
      <c r="F774" s="5" t="n"/>
      <c r="I774">
        <f>VALUE(LEFT($G774,1))*VALUE(LEFT($H774,1))</f>
        <v/>
      </c>
      <c r="J774">
        <f>IF($I774&gt;=20,"Critical",IF($I774&gt;=15,"High",IF($I774&gt;=10,"Medium",IF($I774&gt;=5,"Low",IF($I774&gt;0,"Very Low","")))))</f>
        <v/>
      </c>
      <c r="K774" s="5" t="n"/>
      <c r="O774">
        <f>VALUE(LEFT($M774,1))*VALUE(LEFT($N774,1))</f>
        <v/>
      </c>
      <c r="P774">
        <f>IF($O774&gt;=20,"Critical",IF($O774&gt;=15,"High",IF($O774&gt;=10,"Medium",IF($O774&gt;=5,"Low",IF($O774&gt;0,"Very Low","")))))</f>
        <v/>
      </c>
      <c r="S774" s="5" t="n"/>
      <c r="V774" s="5" t="n"/>
      <c r="W774" s="6" t="n"/>
      <c r="X774" s="6" t="n"/>
      <c r="Z774" s="5" t="n"/>
    </row>
    <row r="775">
      <c r="D775" s="5" t="n"/>
      <c r="E775" s="5" t="n"/>
      <c r="F775" s="5" t="n"/>
      <c r="I775">
        <f>VALUE(LEFT($G775,1))*VALUE(LEFT($H775,1))</f>
        <v/>
      </c>
      <c r="J775">
        <f>IF($I775&gt;=20,"Critical",IF($I775&gt;=15,"High",IF($I775&gt;=10,"Medium",IF($I775&gt;=5,"Low",IF($I775&gt;0,"Very Low","")))))</f>
        <v/>
      </c>
      <c r="K775" s="5" t="n"/>
      <c r="O775">
        <f>VALUE(LEFT($M775,1))*VALUE(LEFT($N775,1))</f>
        <v/>
      </c>
      <c r="P775">
        <f>IF($O775&gt;=20,"Critical",IF($O775&gt;=15,"High",IF($O775&gt;=10,"Medium",IF($O775&gt;=5,"Low",IF($O775&gt;0,"Very Low","")))))</f>
        <v/>
      </c>
      <c r="S775" s="5" t="n"/>
      <c r="V775" s="5" t="n"/>
      <c r="W775" s="6" t="n"/>
      <c r="X775" s="6" t="n"/>
      <c r="Z775" s="5" t="n"/>
    </row>
    <row r="776">
      <c r="D776" s="5" t="n"/>
      <c r="E776" s="5" t="n"/>
      <c r="F776" s="5" t="n"/>
      <c r="I776">
        <f>VALUE(LEFT($G776,1))*VALUE(LEFT($H776,1))</f>
        <v/>
      </c>
      <c r="J776">
        <f>IF($I776&gt;=20,"Critical",IF($I776&gt;=15,"High",IF($I776&gt;=10,"Medium",IF($I776&gt;=5,"Low",IF($I776&gt;0,"Very Low","")))))</f>
        <v/>
      </c>
      <c r="K776" s="5" t="n"/>
      <c r="O776">
        <f>VALUE(LEFT($M776,1))*VALUE(LEFT($N776,1))</f>
        <v/>
      </c>
      <c r="P776">
        <f>IF($O776&gt;=20,"Critical",IF($O776&gt;=15,"High",IF($O776&gt;=10,"Medium",IF($O776&gt;=5,"Low",IF($O776&gt;0,"Very Low","")))))</f>
        <v/>
      </c>
      <c r="S776" s="5" t="n"/>
      <c r="V776" s="5" t="n"/>
      <c r="W776" s="6" t="n"/>
      <c r="X776" s="6" t="n"/>
      <c r="Z776" s="5" t="n"/>
    </row>
    <row r="777">
      <c r="D777" s="5" t="n"/>
      <c r="E777" s="5" t="n"/>
      <c r="F777" s="5" t="n"/>
      <c r="I777">
        <f>VALUE(LEFT($G777,1))*VALUE(LEFT($H777,1))</f>
        <v/>
      </c>
      <c r="J777">
        <f>IF($I777&gt;=20,"Critical",IF($I777&gt;=15,"High",IF($I777&gt;=10,"Medium",IF($I777&gt;=5,"Low",IF($I777&gt;0,"Very Low","")))))</f>
        <v/>
      </c>
      <c r="K777" s="5" t="n"/>
      <c r="O777">
        <f>VALUE(LEFT($M777,1))*VALUE(LEFT($N777,1))</f>
        <v/>
      </c>
      <c r="P777">
        <f>IF($O777&gt;=20,"Critical",IF($O777&gt;=15,"High",IF($O777&gt;=10,"Medium",IF($O777&gt;=5,"Low",IF($O777&gt;0,"Very Low","")))))</f>
        <v/>
      </c>
      <c r="S777" s="5" t="n"/>
      <c r="V777" s="5" t="n"/>
      <c r="W777" s="6" t="n"/>
      <c r="X777" s="6" t="n"/>
      <c r="Z777" s="5" t="n"/>
    </row>
    <row r="778">
      <c r="D778" s="5" t="n"/>
      <c r="E778" s="5" t="n"/>
      <c r="F778" s="5" t="n"/>
      <c r="I778">
        <f>VALUE(LEFT($G778,1))*VALUE(LEFT($H778,1))</f>
        <v/>
      </c>
      <c r="J778">
        <f>IF($I778&gt;=20,"Critical",IF($I778&gt;=15,"High",IF($I778&gt;=10,"Medium",IF($I778&gt;=5,"Low",IF($I778&gt;0,"Very Low","")))))</f>
        <v/>
      </c>
      <c r="K778" s="5" t="n"/>
      <c r="O778">
        <f>VALUE(LEFT($M778,1))*VALUE(LEFT($N778,1))</f>
        <v/>
      </c>
      <c r="P778">
        <f>IF($O778&gt;=20,"Critical",IF($O778&gt;=15,"High",IF($O778&gt;=10,"Medium",IF($O778&gt;=5,"Low",IF($O778&gt;0,"Very Low","")))))</f>
        <v/>
      </c>
      <c r="S778" s="5" t="n"/>
      <c r="V778" s="5" t="n"/>
      <c r="W778" s="6" t="n"/>
      <c r="X778" s="6" t="n"/>
      <c r="Z778" s="5" t="n"/>
    </row>
    <row r="779">
      <c r="D779" s="5" t="n"/>
      <c r="E779" s="5" t="n"/>
      <c r="F779" s="5" t="n"/>
      <c r="I779">
        <f>VALUE(LEFT($G779,1))*VALUE(LEFT($H779,1))</f>
        <v/>
      </c>
      <c r="J779">
        <f>IF($I779&gt;=20,"Critical",IF($I779&gt;=15,"High",IF($I779&gt;=10,"Medium",IF($I779&gt;=5,"Low",IF($I779&gt;0,"Very Low","")))))</f>
        <v/>
      </c>
      <c r="K779" s="5" t="n"/>
      <c r="O779">
        <f>VALUE(LEFT($M779,1))*VALUE(LEFT($N779,1))</f>
        <v/>
      </c>
      <c r="P779">
        <f>IF($O779&gt;=20,"Critical",IF($O779&gt;=15,"High",IF($O779&gt;=10,"Medium",IF($O779&gt;=5,"Low",IF($O779&gt;0,"Very Low","")))))</f>
        <v/>
      </c>
      <c r="S779" s="5" t="n"/>
      <c r="V779" s="5" t="n"/>
      <c r="W779" s="6" t="n"/>
      <c r="X779" s="6" t="n"/>
      <c r="Z779" s="5" t="n"/>
    </row>
    <row r="780">
      <c r="D780" s="5" t="n"/>
      <c r="E780" s="5" t="n"/>
      <c r="F780" s="5" t="n"/>
      <c r="I780">
        <f>VALUE(LEFT($G780,1))*VALUE(LEFT($H780,1))</f>
        <v/>
      </c>
      <c r="J780">
        <f>IF($I780&gt;=20,"Critical",IF($I780&gt;=15,"High",IF($I780&gt;=10,"Medium",IF($I780&gt;=5,"Low",IF($I780&gt;0,"Very Low","")))))</f>
        <v/>
      </c>
      <c r="K780" s="5" t="n"/>
      <c r="O780">
        <f>VALUE(LEFT($M780,1))*VALUE(LEFT($N780,1))</f>
        <v/>
      </c>
      <c r="P780">
        <f>IF($O780&gt;=20,"Critical",IF($O780&gt;=15,"High",IF($O780&gt;=10,"Medium",IF($O780&gt;=5,"Low",IF($O780&gt;0,"Very Low","")))))</f>
        <v/>
      </c>
      <c r="S780" s="5" t="n"/>
      <c r="V780" s="5" t="n"/>
      <c r="W780" s="6" t="n"/>
      <c r="X780" s="6" t="n"/>
      <c r="Z780" s="5" t="n"/>
    </row>
    <row r="781">
      <c r="D781" s="5" t="n"/>
      <c r="E781" s="5" t="n"/>
      <c r="F781" s="5" t="n"/>
      <c r="I781">
        <f>VALUE(LEFT($G781,1))*VALUE(LEFT($H781,1))</f>
        <v/>
      </c>
      <c r="J781">
        <f>IF($I781&gt;=20,"Critical",IF($I781&gt;=15,"High",IF($I781&gt;=10,"Medium",IF($I781&gt;=5,"Low",IF($I781&gt;0,"Very Low","")))))</f>
        <v/>
      </c>
      <c r="K781" s="5" t="n"/>
      <c r="O781">
        <f>VALUE(LEFT($M781,1))*VALUE(LEFT($N781,1))</f>
        <v/>
      </c>
      <c r="P781">
        <f>IF($O781&gt;=20,"Critical",IF($O781&gt;=15,"High",IF($O781&gt;=10,"Medium",IF($O781&gt;=5,"Low",IF($O781&gt;0,"Very Low","")))))</f>
        <v/>
      </c>
      <c r="S781" s="5" t="n"/>
      <c r="V781" s="5" t="n"/>
      <c r="W781" s="6" t="n"/>
      <c r="X781" s="6" t="n"/>
      <c r="Z781" s="5" t="n"/>
    </row>
    <row r="782">
      <c r="D782" s="5" t="n"/>
      <c r="E782" s="5" t="n"/>
      <c r="F782" s="5" t="n"/>
      <c r="I782">
        <f>VALUE(LEFT($G782,1))*VALUE(LEFT($H782,1))</f>
        <v/>
      </c>
      <c r="J782">
        <f>IF($I782&gt;=20,"Critical",IF($I782&gt;=15,"High",IF($I782&gt;=10,"Medium",IF($I782&gt;=5,"Low",IF($I782&gt;0,"Very Low","")))))</f>
        <v/>
      </c>
      <c r="K782" s="5" t="n"/>
      <c r="O782">
        <f>VALUE(LEFT($M782,1))*VALUE(LEFT($N782,1))</f>
        <v/>
      </c>
      <c r="P782">
        <f>IF($O782&gt;=20,"Critical",IF($O782&gt;=15,"High",IF($O782&gt;=10,"Medium",IF($O782&gt;=5,"Low",IF($O782&gt;0,"Very Low","")))))</f>
        <v/>
      </c>
      <c r="S782" s="5" t="n"/>
      <c r="V782" s="5" t="n"/>
      <c r="W782" s="6" t="n"/>
      <c r="X782" s="6" t="n"/>
      <c r="Z782" s="5" t="n"/>
    </row>
    <row r="783">
      <c r="D783" s="5" t="n"/>
      <c r="E783" s="5" t="n"/>
      <c r="F783" s="5" t="n"/>
      <c r="I783">
        <f>VALUE(LEFT($G783,1))*VALUE(LEFT($H783,1))</f>
        <v/>
      </c>
      <c r="J783">
        <f>IF($I783&gt;=20,"Critical",IF($I783&gt;=15,"High",IF($I783&gt;=10,"Medium",IF($I783&gt;=5,"Low",IF($I783&gt;0,"Very Low","")))))</f>
        <v/>
      </c>
      <c r="K783" s="5" t="n"/>
      <c r="O783">
        <f>VALUE(LEFT($M783,1))*VALUE(LEFT($N783,1))</f>
        <v/>
      </c>
      <c r="P783">
        <f>IF($O783&gt;=20,"Critical",IF($O783&gt;=15,"High",IF($O783&gt;=10,"Medium",IF($O783&gt;=5,"Low",IF($O783&gt;0,"Very Low","")))))</f>
        <v/>
      </c>
      <c r="S783" s="5" t="n"/>
      <c r="V783" s="5" t="n"/>
      <c r="W783" s="6" t="n"/>
      <c r="X783" s="6" t="n"/>
      <c r="Z783" s="5" t="n"/>
    </row>
    <row r="784">
      <c r="D784" s="5" t="n"/>
      <c r="E784" s="5" t="n"/>
      <c r="F784" s="5" t="n"/>
      <c r="I784">
        <f>VALUE(LEFT($G784,1))*VALUE(LEFT($H784,1))</f>
        <v/>
      </c>
      <c r="J784">
        <f>IF($I784&gt;=20,"Critical",IF($I784&gt;=15,"High",IF($I784&gt;=10,"Medium",IF($I784&gt;=5,"Low",IF($I784&gt;0,"Very Low","")))))</f>
        <v/>
      </c>
      <c r="K784" s="5" t="n"/>
      <c r="O784">
        <f>VALUE(LEFT($M784,1))*VALUE(LEFT($N784,1))</f>
        <v/>
      </c>
      <c r="P784">
        <f>IF($O784&gt;=20,"Critical",IF($O784&gt;=15,"High",IF($O784&gt;=10,"Medium",IF($O784&gt;=5,"Low",IF($O784&gt;0,"Very Low","")))))</f>
        <v/>
      </c>
      <c r="S784" s="5" t="n"/>
      <c r="V784" s="5" t="n"/>
      <c r="W784" s="6" t="n"/>
      <c r="X784" s="6" t="n"/>
      <c r="Z784" s="5" t="n"/>
    </row>
    <row r="785">
      <c r="D785" s="5" t="n"/>
      <c r="E785" s="5" t="n"/>
      <c r="F785" s="5" t="n"/>
      <c r="I785">
        <f>VALUE(LEFT($G785,1))*VALUE(LEFT($H785,1))</f>
        <v/>
      </c>
      <c r="J785">
        <f>IF($I785&gt;=20,"Critical",IF($I785&gt;=15,"High",IF($I785&gt;=10,"Medium",IF($I785&gt;=5,"Low",IF($I785&gt;0,"Very Low","")))))</f>
        <v/>
      </c>
      <c r="K785" s="5" t="n"/>
      <c r="O785">
        <f>VALUE(LEFT($M785,1))*VALUE(LEFT($N785,1))</f>
        <v/>
      </c>
      <c r="P785">
        <f>IF($O785&gt;=20,"Critical",IF($O785&gt;=15,"High",IF($O785&gt;=10,"Medium",IF($O785&gt;=5,"Low",IF($O785&gt;0,"Very Low","")))))</f>
        <v/>
      </c>
      <c r="S785" s="5" t="n"/>
      <c r="V785" s="5" t="n"/>
      <c r="W785" s="6" t="n"/>
      <c r="X785" s="6" t="n"/>
      <c r="Z785" s="5" t="n"/>
    </row>
    <row r="786">
      <c r="D786" s="5" t="n"/>
      <c r="E786" s="5" t="n"/>
      <c r="F786" s="5" t="n"/>
      <c r="I786">
        <f>VALUE(LEFT($G786,1))*VALUE(LEFT($H786,1))</f>
        <v/>
      </c>
      <c r="J786">
        <f>IF($I786&gt;=20,"Critical",IF($I786&gt;=15,"High",IF($I786&gt;=10,"Medium",IF($I786&gt;=5,"Low",IF($I786&gt;0,"Very Low","")))))</f>
        <v/>
      </c>
      <c r="K786" s="5" t="n"/>
      <c r="O786">
        <f>VALUE(LEFT($M786,1))*VALUE(LEFT($N786,1))</f>
        <v/>
      </c>
      <c r="P786">
        <f>IF($O786&gt;=20,"Critical",IF($O786&gt;=15,"High",IF($O786&gt;=10,"Medium",IF($O786&gt;=5,"Low",IF($O786&gt;0,"Very Low","")))))</f>
        <v/>
      </c>
      <c r="S786" s="5" t="n"/>
      <c r="V786" s="5" t="n"/>
      <c r="W786" s="6" t="n"/>
      <c r="X786" s="6" t="n"/>
      <c r="Z786" s="5" t="n"/>
    </row>
    <row r="787">
      <c r="D787" s="5" t="n"/>
      <c r="E787" s="5" t="n"/>
      <c r="F787" s="5" t="n"/>
      <c r="I787">
        <f>VALUE(LEFT($G787,1))*VALUE(LEFT($H787,1))</f>
        <v/>
      </c>
      <c r="J787">
        <f>IF($I787&gt;=20,"Critical",IF($I787&gt;=15,"High",IF($I787&gt;=10,"Medium",IF($I787&gt;=5,"Low",IF($I787&gt;0,"Very Low","")))))</f>
        <v/>
      </c>
      <c r="K787" s="5" t="n"/>
      <c r="O787">
        <f>VALUE(LEFT($M787,1))*VALUE(LEFT($N787,1))</f>
        <v/>
      </c>
      <c r="P787">
        <f>IF($O787&gt;=20,"Critical",IF($O787&gt;=15,"High",IF($O787&gt;=10,"Medium",IF($O787&gt;=5,"Low",IF($O787&gt;0,"Very Low","")))))</f>
        <v/>
      </c>
      <c r="S787" s="5" t="n"/>
      <c r="V787" s="5" t="n"/>
      <c r="W787" s="6" t="n"/>
      <c r="X787" s="6" t="n"/>
      <c r="Z787" s="5" t="n"/>
    </row>
    <row r="788">
      <c r="D788" s="5" t="n"/>
      <c r="E788" s="5" t="n"/>
      <c r="F788" s="5" t="n"/>
      <c r="I788">
        <f>VALUE(LEFT($G788,1))*VALUE(LEFT($H788,1))</f>
        <v/>
      </c>
      <c r="J788">
        <f>IF($I788&gt;=20,"Critical",IF($I788&gt;=15,"High",IF($I788&gt;=10,"Medium",IF($I788&gt;=5,"Low",IF($I788&gt;0,"Very Low","")))))</f>
        <v/>
      </c>
      <c r="K788" s="5" t="n"/>
      <c r="O788">
        <f>VALUE(LEFT($M788,1))*VALUE(LEFT($N788,1))</f>
        <v/>
      </c>
      <c r="P788">
        <f>IF($O788&gt;=20,"Critical",IF($O788&gt;=15,"High",IF($O788&gt;=10,"Medium",IF($O788&gt;=5,"Low",IF($O788&gt;0,"Very Low","")))))</f>
        <v/>
      </c>
      <c r="S788" s="5" t="n"/>
      <c r="V788" s="5" t="n"/>
      <c r="W788" s="6" t="n"/>
      <c r="X788" s="6" t="n"/>
      <c r="Z788" s="5" t="n"/>
    </row>
    <row r="789">
      <c r="D789" s="5" t="n"/>
      <c r="E789" s="5" t="n"/>
      <c r="F789" s="5" t="n"/>
      <c r="I789">
        <f>VALUE(LEFT($G789,1))*VALUE(LEFT($H789,1))</f>
        <v/>
      </c>
      <c r="J789">
        <f>IF($I789&gt;=20,"Critical",IF($I789&gt;=15,"High",IF($I789&gt;=10,"Medium",IF($I789&gt;=5,"Low",IF($I789&gt;0,"Very Low","")))))</f>
        <v/>
      </c>
      <c r="K789" s="5" t="n"/>
      <c r="O789">
        <f>VALUE(LEFT($M789,1))*VALUE(LEFT($N789,1))</f>
        <v/>
      </c>
      <c r="P789">
        <f>IF($O789&gt;=20,"Critical",IF($O789&gt;=15,"High",IF($O789&gt;=10,"Medium",IF($O789&gt;=5,"Low",IF($O789&gt;0,"Very Low","")))))</f>
        <v/>
      </c>
      <c r="S789" s="5" t="n"/>
      <c r="V789" s="5" t="n"/>
      <c r="W789" s="6" t="n"/>
      <c r="X789" s="6" t="n"/>
      <c r="Z789" s="5" t="n"/>
    </row>
    <row r="790">
      <c r="D790" s="5" t="n"/>
      <c r="E790" s="5" t="n"/>
      <c r="F790" s="5" t="n"/>
      <c r="I790">
        <f>VALUE(LEFT($G790,1))*VALUE(LEFT($H790,1))</f>
        <v/>
      </c>
      <c r="J790">
        <f>IF($I790&gt;=20,"Critical",IF($I790&gt;=15,"High",IF($I790&gt;=10,"Medium",IF($I790&gt;=5,"Low",IF($I790&gt;0,"Very Low","")))))</f>
        <v/>
      </c>
      <c r="K790" s="5" t="n"/>
      <c r="O790">
        <f>VALUE(LEFT($M790,1))*VALUE(LEFT($N790,1))</f>
        <v/>
      </c>
      <c r="P790">
        <f>IF($O790&gt;=20,"Critical",IF($O790&gt;=15,"High",IF($O790&gt;=10,"Medium",IF($O790&gt;=5,"Low",IF($O790&gt;0,"Very Low","")))))</f>
        <v/>
      </c>
      <c r="S790" s="5" t="n"/>
      <c r="V790" s="5" t="n"/>
      <c r="W790" s="6" t="n"/>
      <c r="X790" s="6" t="n"/>
      <c r="Z790" s="5" t="n"/>
    </row>
    <row r="791">
      <c r="D791" s="5" t="n"/>
      <c r="E791" s="5" t="n"/>
      <c r="F791" s="5" t="n"/>
      <c r="I791">
        <f>VALUE(LEFT($G791,1))*VALUE(LEFT($H791,1))</f>
        <v/>
      </c>
      <c r="J791">
        <f>IF($I791&gt;=20,"Critical",IF($I791&gt;=15,"High",IF($I791&gt;=10,"Medium",IF($I791&gt;=5,"Low",IF($I791&gt;0,"Very Low","")))))</f>
        <v/>
      </c>
      <c r="K791" s="5" t="n"/>
      <c r="O791">
        <f>VALUE(LEFT($M791,1))*VALUE(LEFT($N791,1))</f>
        <v/>
      </c>
      <c r="P791">
        <f>IF($O791&gt;=20,"Critical",IF($O791&gt;=15,"High",IF($O791&gt;=10,"Medium",IF($O791&gt;=5,"Low",IF($O791&gt;0,"Very Low","")))))</f>
        <v/>
      </c>
      <c r="S791" s="5" t="n"/>
      <c r="V791" s="5" t="n"/>
      <c r="W791" s="6" t="n"/>
      <c r="X791" s="6" t="n"/>
      <c r="Z791" s="5" t="n"/>
    </row>
    <row r="792">
      <c r="D792" s="5" t="n"/>
      <c r="E792" s="5" t="n"/>
      <c r="F792" s="5" t="n"/>
      <c r="I792">
        <f>VALUE(LEFT($G792,1))*VALUE(LEFT($H792,1))</f>
        <v/>
      </c>
      <c r="J792">
        <f>IF($I792&gt;=20,"Critical",IF($I792&gt;=15,"High",IF($I792&gt;=10,"Medium",IF($I792&gt;=5,"Low",IF($I792&gt;0,"Very Low","")))))</f>
        <v/>
      </c>
      <c r="K792" s="5" t="n"/>
      <c r="O792">
        <f>VALUE(LEFT($M792,1))*VALUE(LEFT($N792,1))</f>
        <v/>
      </c>
      <c r="P792">
        <f>IF($O792&gt;=20,"Critical",IF($O792&gt;=15,"High",IF($O792&gt;=10,"Medium",IF($O792&gt;=5,"Low",IF($O792&gt;0,"Very Low","")))))</f>
        <v/>
      </c>
      <c r="S792" s="5" t="n"/>
      <c r="V792" s="5" t="n"/>
      <c r="W792" s="6" t="n"/>
      <c r="X792" s="6" t="n"/>
      <c r="Z792" s="5" t="n"/>
    </row>
    <row r="793">
      <c r="D793" s="5" t="n"/>
      <c r="E793" s="5" t="n"/>
      <c r="F793" s="5" t="n"/>
      <c r="I793">
        <f>VALUE(LEFT($G793,1))*VALUE(LEFT($H793,1))</f>
        <v/>
      </c>
      <c r="J793">
        <f>IF($I793&gt;=20,"Critical",IF($I793&gt;=15,"High",IF($I793&gt;=10,"Medium",IF($I793&gt;=5,"Low",IF($I793&gt;0,"Very Low","")))))</f>
        <v/>
      </c>
      <c r="K793" s="5" t="n"/>
      <c r="O793">
        <f>VALUE(LEFT($M793,1))*VALUE(LEFT($N793,1))</f>
        <v/>
      </c>
      <c r="P793">
        <f>IF($O793&gt;=20,"Critical",IF($O793&gt;=15,"High",IF($O793&gt;=10,"Medium",IF($O793&gt;=5,"Low",IF($O793&gt;0,"Very Low","")))))</f>
        <v/>
      </c>
      <c r="S793" s="5" t="n"/>
      <c r="V793" s="5" t="n"/>
      <c r="W793" s="6" t="n"/>
      <c r="X793" s="6" t="n"/>
      <c r="Z793" s="5" t="n"/>
    </row>
    <row r="794">
      <c r="D794" s="5" t="n"/>
      <c r="E794" s="5" t="n"/>
      <c r="F794" s="5" t="n"/>
      <c r="I794">
        <f>VALUE(LEFT($G794,1))*VALUE(LEFT($H794,1))</f>
        <v/>
      </c>
      <c r="J794">
        <f>IF($I794&gt;=20,"Critical",IF($I794&gt;=15,"High",IF($I794&gt;=10,"Medium",IF($I794&gt;=5,"Low",IF($I794&gt;0,"Very Low","")))))</f>
        <v/>
      </c>
      <c r="K794" s="5" t="n"/>
      <c r="O794">
        <f>VALUE(LEFT($M794,1))*VALUE(LEFT($N794,1))</f>
        <v/>
      </c>
      <c r="P794">
        <f>IF($O794&gt;=20,"Critical",IF($O794&gt;=15,"High",IF($O794&gt;=10,"Medium",IF($O794&gt;=5,"Low",IF($O794&gt;0,"Very Low","")))))</f>
        <v/>
      </c>
      <c r="S794" s="5" t="n"/>
      <c r="V794" s="5" t="n"/>
      <c r="W794" s="6" t="n"/>
      <c r="X794" s="6" t="n"/>
      <c r="Z794" s="5" t="n"/>
    </row>
    <row r="795">
      <c r="D795" s="5" t="n"/>
      <c r="E795" s="5" t="n"/>
      <c r="F795" s="5" t="n"/>
      <c r="I795">
        <f>VALUE(LEFT($G795,1))*VALUE(LEFT($H795,1))</f>
        <v/>
      </c>
      <c r="J795">
        <f>IF($I795&gt;=20,"Critical",IF($I795&gt;=15,"High",IF($I795&gt;=10,"Medium",IF($I795&gt;=5,"Low",IF($I795&gt;0,"Very Low","")))))</f>
        <v/>
      </c>
      <c r="K795" s="5" t="n"/>
      <c r="O795">
        <f>VALUE(LEFT($M795,1))*VALUE(LEFT($N795,1))</f>
        <v/>
      </c>
      <c r="P795">
        <f>IF($O795&gt;=20,"Critical",IF($O795&gt;=15,"High",IF($O795&gt;=10,"Medium",IF($O795&gt;=5,"Low",IF($O795&gt;0,"Very Low","")))))</f>
        <v/>
      </c>
      <c r="S795" s="5" t="n"/>
      <c r="V795" s="5" t="n"/>
      <c r="W795" s="6" t="n"/>
      <c r="X795" s="6" t="n"/>
      <c r="Z795" s="5" t="n"/>
    </row>
    <row r="796">
      <c r="D796" s="5" t="n"/>
      <c r="E796" s="5" t="n"/>
      <c r="F796" s="5" t="n"/>
      <c r="I796">
        <f>VALUE(LEFT($G796,1))*VALUE(LEFT($H796,1))</f>
        <v/>
      </c>
      <c r="J796">
        <f>IF($I796&gt;=20,"Critical",IF($I796&gt;=15,"High",IF($I796&gt;=10,"Medium",IF($I796&gt;=5,"Low",IF($I796&gt;0,"Very Low","")))))</f>
        <v/>
      </c>
      <c r="K796" s="5" t="n"/>
      <c r="O796">
        <f>VALUE(LEFT($M796,1))*VALUE(LEFT($N796,1))</f>
        <v/>
      </c>
      <c r="P796">
        <f>IF($O796&gt;=20,"Critical",IF($O796&gt;=15,"High",IF($O796&gt;=10,"Medium",IF($O796&gt;=5,"Low",IF($O796&gt;0,"Very Low","")))))</f>
        <v/>
      </c>
      <c r="S796" s="5" t="n"/>
      <c r="V796" s="5" t="n"/>
      <c r="W796" s="6" t="n"/>
      <c r="X796" s="6" t="n"/>
      <c r="Z796" s="5" t="n"/>
    </row>
    <row r="797">
      <c r="D797" s="5" t="n"/>
      <c r="E797" s="5" t="n"/>
      <c r="F797" s="5" t="n"/>
      <c r="I797">
        <f>VALUE(LEFT($G797,1))*VALUE(LEFT($H797,1))</f>
        <v/>
      </c>
      <c r="J797">
        <f>IF($I797&gt;=20,"Critical",IF($I797&gt;=15,"High",IF($I797&gt;=10,"Medium",IF($I797&gt;=5,"Low",IF($I797&gt;0,"Very Low","")))))</f>
        <v/>
      </c>
      <c r="K797" s="5" t="n"/>
      <c r="O797">
        <f>VALUE(LEFT($M797,1))*VALUE(LEFT($N797,1))</f>
        <v/>
      </c>
      <c r="P797">
        <f>IF($O797&gt;=20,"Critical",IF($O797&gt;=15,"High",IF($O797&gt;=10,"Medium",IF($O797&gt;=5,"Low",IF($O797&gt;0,"Very Low","")))))</f>
        <v/>
      </c>
      <c r="S797" s="5" t="n"/>
      <c r="V797" s="5" t="n"/>
      <c r="W797" s="6" t="n"/>
      <c r="X797" s="6" t="n"/>
      <c r="Z797" s="5" t="n"/>
    </row>
    <row r="798">
      <c r="D798" s="5" t="n"/>
      <c r="E798" s="5" t="n"/>
      <c r="F798" s="5" t="n"/>
      <c r="I798">
        <f>VALUE(LEFT($G798,1))*VALUE(LEFT($H798,1))</f>
        <v/>
      </c>
      <c r="J798">
        <f>IF($I798&gt;=20,"Critical",IF($I798&gt;=15,"High",IF($I798&gt;=10,"Medium",IF($I798&gt;=5,"Low",IF($I798&gt;0,"Very Low","")))))</f>
        <v/>
      </c>
      <c r="K798" s="5" t="n"/>
      <c r="O798">
        <f>VALUE(LEFT($M798,1))*VALUE(LEFT($N798,1))</f>
        <v/>
      </c>
      <c r="P798">
        <f>IF($O798&gt;=20,"Critical",IF($O798&gt;=15,"High",IF($O798&gt;=10,"Medium",IF($O798&gt;=5,"Low",IF($O798&gt;0,"Very Low","")))))</f>
        <v/>
      </c>
      <c r="S798" s="5" t="n"/>
      <c r="V798" s="5" t="n"/>
      <c r="W798" s="6" t="n"/>
      <c r="X798" s="6" t="n"/>
      <c r="Z798" s="5" t="n"/>
    </row>
    <row r="799">
      <c r="D799" s="5" t="n"/>
      <c r="E799" s="5" t="n"/>
      <c r="F799" s="5" t="n"/>
      <c r="I799">
        <f>VALUE(LEFT($G799,1))*VALUE(LEFT($H799,1))</f>
        <v/>
      </c>
      <c r="J799">
        <f>IF($I799&gt;=20,"Critical",IF($I799&gt;=15,"High",IF($I799&gt;=10,"Medium",IF($I799&gt;=5,"Low",IF($I799&gt;0,"Very Low","")))))</f>
        <v/>
      </c>
      <c r="K799" s="5" t="n"/>
      <c r="O799">
        <f>VALUE(LEFT($M799,1))*VALUE(LEFT($N799,1))</f>
        <v/>
      </c>
      <c r="P799">
        <f>IF($O799&gt;=20,"Critical",IF($O799&gt;=15,"High",IF($O799&gt;=10,"Medium",IF($O799&gt;=5,"Low",IF($O799&gt;0,"Very Low","")))))</f>
        <v/>
      </c>
      <c r="S799" s="5" t="n"/>
      <c r="V799" s="5" t="n"/>
      <c r="W799" s="6" t="n"/>
      <c r="X799" s="6" t="n"/>
      <c r="Z799" s="5" t="n"/>
    </row>
    <row r="800">
      <c r="D800" s="5" t="n"/>
      <c r="E800" s="5" t="n"/>
      <c r="F800" s="5" t="n"/>
      <c r="I800">
        <f>VALUE(LEFT($G800,1))*VALUE(LEFT($H800,1))</f>
        <v/>
      </c>
      <c r="J800">
        <f>IF($I800&gt;=20,"Critical",IF($I800&gt;=15,"High",IF($I800&gt;=10,"Medium",IF($I800&gt;=5,"Low",IF($I800&gt;0,"Very Low","")))))</f>
        <v/>
      </c>
      <c r="K800" s="5" t="n"/>
      <c r="O800">
        <f>VALUE(LEFT($M800,1))*VALUE(LEFT($N800,1))</f>
        <v/>
      </c>
      <c r="P800">
        <f>IF($O800&gt;=20,"Critical",IF($O800&gt;=15,"High",IF($O800&gt;=10,"Medium",IF($O800&gt;=5,"Low",IF($O800&gt;0,"Very Low","")))))</f>
        <v/>
      </c>
      <c r="S800" s="5" t="n"/>
      <c r="V800" s="5" t="n"/>
      <c r="W800" s="6" t="n"/>
      <c r="X800" s="6" t="n"/>
      <c r="Z800" s="5" t="n"/>
    </row>
    <row r="801">
      <c r="D801" s="5" t="n"/>
      <c r="E801" s="5" t="n"/>
      <c r="F801" s="5" t="n"/>
      <c r="I801">
        <f>VALUE(LEFT($G801,1))*VALUE(LEFT($H801,1))</f>
        <v/>
      </c>
      <c r="J801">
        <f>IF($I801&gt;=20,"Critical",IF($I801&gt;=15,"High",IF($I801&gt;=10,"Medium",IF($I801&gt;=5,"Low",IF($I801&gt;0,"Very Low","")))))</f>
        <v/>
      </c>
      <c r="K801" s="5" t="n"/>
      <c r="O801">
        <f>VALUE(LEFT($M801,1))*VALUE(LEFT($N801,1))</f>
        <v/>
      </c>
      <c r="P801">
        <f>IF($O801&gt;=20,"Critical",IF($O801&gt;=15,"High",IF($O801&gt;=10,"Medium",IF($O801&gt;=5,"Low",IF($O801&gt;0,"Very Low","")))))</f>
        <v/>
      </c>
      <c r="S801" s="5" t="n"/>
      <c r="V801" s="5" t="n"/>
      <c r="W801" s="6" t="n"/>
      <c r="X801" s="6" t="n"/>
      <c r="Z801" s="5" t="n"/>
    </row>
    <row r="802">
      <c r="D802" s="5" t="n"/>
      <c r="E802" s="5" t="n"/>
      <c r="F802" s="5" t="n"/>
      <c r="I802">
        <f>VALUE(LEFT($G802,1))*VALUE(LEFT($H802,1))</f>
        <v/>
      </c>
      <c r="J802">
        <f>IF($I802&gt;=20,"Critical",IF($I802&gt;=15,"High",IF($I802&gt;=10,"Medium",IF($I802&gt;=5,"Low",IF($I802&gt;0,"Very Low","")))))</f>
        <v/>
      </c>
      <c r="K802" s="5" t="n"/>
      <c r="O802">
        <f>VALUE(LEFT($M802,1))*VALUE(LEFT($N802,1))</f>
        <v/>
      </c>
      <c r="P802">
        <f>IF($O802&gt;=20,"Critical",IF($O802&gt;=15,"High",IF($O802&gt;=10,"Medium",IF($O802&gt;=5,"Low",IF($O802&gt;0,"Very Low","")))))</f>
        <v/>
      </c>
      <c r="S802" s="5" t="n"/>
      <c r="V802" s="5" t="n"/>
      <c r="W802" s="6" t="n"/>
      <c r="X802" s="6" t="n"/>
      <c r="Z802" s="5" t="n"/>
    </row>
    <row r="803">
      <c r="D803" s="5" t="n"/>
      <c r="E803" s="5" t="n"/>
      <c r="F803" s="5" t="n"/>
      <c r="I803">
        <f>VALUE(LEFT($G803,1))*VALUE(LEFT($H803,1))</f>
        <v/>
      </c>
      <c r="J803">
        <f>IF($I803&gt;=20,"Critical",IF($I803&gt;=15,"High",IF($I803&gt;=10,"Medium",IF($I803&gt;=5,"Low",IF($I803&gt;0,"Very Low","")))))</f>
        <v/>
      </c>
      <c r="K803" s="5" t="n"/>
      <c r="O803">
        <f>VALUE(LEFT($M803,1))*VALUE(LEFT($N803,1))</f>
        <v/>
      </c>
      <c r="P803">
        <f>IF($O803&gt;=20,"Critical",IF($O803&gt;=15,"High",IF($O803&gt;=10,"Medium",IF($O803&gt;=5,"Low",IF($O803&gt;0,"Very Low","")))))</f>
        <v/>
      </c>
      <c r="S803" s="5" t="n"/>
      <c r="V803" s="5" t="n"/>
      <c r="W803" s="6" t="n"/>
      <c r="X803" s="6" t="n"/>
      <c r="Z803" s="5" t="n"/>
    </row>
    <row r="804">
      <c r="D804" s="5" t="n"/>
      <c r="E804" s="5" t="n"/>
      <c r="F804" s="5" t="n"/>
      <c r="I804">
        <f>VALUE(LEFT($G804,1))*VALUE(LEFT($H804,1))</f>
        <v/>
      </c>
      <c r="J804">
        <f>IF($I804&gt;=20,"Critical",IF($I804&gt;=15,"High",IF($I804&gt;=10,"Medium",IF($I804&gt;=5,"Low",IF($I804&gt;0,"Very Low","")))))</f>
        <v/>
      </c>
      <c r="K804" s="5" t="n"/>
      <c r="O804">
        <f>VALUE(LEFT($M804,1))*VALUE(LEFT($N804,1))</f>
        <v/>
      </c>
      <c r="P804">
        <f>IF($O804&gt;=20,"Critical",IF($O804&gt;=15,"High",IF($O804&gt;=10,"Medium",IF($O804&gt;=5,"Low",IF($O804&gt;0,"Very Low","")))))</f>
        <v/>
      </c>
      <c r="S804" s="5" t="n"/>
      <c r="V804" s="5" t="n"/>
      <c r="W804" s="6" t="n"/>
      <c r="X804" s="6" t="n"/>
      <c r="Z804" s="5" t="n"/>
    </row>
    <row r="805">
      <c r="D805" s="5" t="n"/>
      <c r="E805" s="5" t="n"/>
      <c r="F805" s="5" t="n"/>
      <c r="I805">
        <f>VALUE(LEFT($G805,1))*VALUE(LEFT($H805,1))</f>
        <v/>
      </c>
      <c r="J805">
        <f>IF($I805&gt;=20,"Critical",IF($I805&gt;=15,"High",IF($I805&gt;=10,"Medium",IF($I805&gt;=5,"Low",IF($I805&gt;0,"Very Low","")))))</f>
        <v/>
      </c>
      <c r="K805" s="5" t="n"/>
      <c r="O805">
        <f>VALUE(LEFT($M805,1))*VALUE(LEFT($N805,1))</f>
        <v/>
      </c>
      <c r="P805">
        <f>IF($O805&gt;=20,"Critical",IF($O805&gt;=15,"High",IF($O805&gt;=10,"Medium",IF($O805&gt;=5,"Low",IF($O805&gt;0,"Very Low","")))))</f>
        <v/>
      </c>
      <c r="S805" s="5" t="n"/>
      <c r="V805" s="5" t="n"/>
      <c r="W805" s="6" t="n"/>
      <c r="X805" s="6" t="n"/>
      <c r="Z805" s="5" t="n"/>
    </row>
    <row r="806">
      <c r="D806" s="5" t="n"/>
      <c r="E806" s="5" t="n"/>
      <c r="F806" s="5" t="n"/>
      <c r="I806">
        <f>VALUE(LEFT($G806,1))*VALUE(LEFT($H806,1))</f>
        <v/>
      </c>
      <c r="J806">
        <f>IF($I806&gt;=20,"Critical",IF($I806&gt;=15,"High",IF($I806&gt;=10,"Medium",IF($I806&gt;=5,"Low",IF($I806&gt;0,"Very Low","")))))</f>
        <v/>
      </c>
      <c r="K806" s="5" t="n"/>
      <c r="O806">
        <f>VALUE(LEFT($M806,1))*VALUE(LEFT($N806,1))</f>
        <v/>
      </c>
      <c r="P806">
        <f>IF($O806&gt;=20,"Critical",IF($O806&gt;=15,"High",IF($O806&gt;=10,"Medium",IF($O806&gt;=5,"Low",IF($O806&gt;0,"Very Low","")))))</f>
        <v/>
      </c>
      <c r="S806" s="5" t="n"/>
      <c r="V806" s="5" t="n"/>
      <c r="W806" s="6" t="n"/>
      <c r="X806" s="6" t="n"/>
      <c r="Z806" s="5" t="n"/>
    </row>
    <row r="807">
      <c r="D807" s="5" t="n"/>
      <c r="E807" s="5" t="n"/>
      <c r="F807" s="5" t="n"/>
      <c r="I807">
        <f>VALUE(LEFT($G807,1))*VALUE(LEFT($H807,1))</f>
        <v/>
      </c>
      <c r="J807">
        <f>IF($I807&gt;=20,"Critical",IF($I807&gt;=15,"High",IF($I807&gt;=10,"Medium",IF($I807&gt;=5,"Low",IF($I807&gt;0,"Very Low","")))))</f>
        <v/>
      </c>
      <c r="K807" s="5" t="n"/>
      <c r="O807">
        <f>VALUE(LEFT($M807,1))*VALUE(LEFT($N807,1))</f>
        <v/>
      </c>
      <c r="P807">
        <f>IF($O807&gt;=20,"Critical",IF($O807&gt;=15,"High",IF($O807&gt;=10,"Medium",IF($O807&gt;=5,"Low",IF($O807&gt;0,"Very Low","")))))</f>
        <v/>
      </c>
      <c r="S807" s="5" t="n"/>
      <c r="V807" s="5" t="n"/>
      <c r="W807" s="6" t="n"/>
      <c r="X807" s="6" t="n"/>
      <c r="Z807" s="5" t="n"/>
    </row>
    <row r="808">
      <c r="D808" s="5" t="n"/>
      <c r="E808" s="5" t="n"/>
      <c r="F808" s="5" t="n"/>
      <c r="I808">
        <f>VALUE(LEFT($G808,1))*VALUE(LEFT($H808,1))</f>
        <v/>
      </c>
      <c r="J808">
        <f>IF($I808&gt;=20,"Critical",IF($I808&gt;=15,"High",IF($I808&gt;=10,"Medium",IF($I808&gt;=5,"Low",IF($I808&gt;0,"Very Low","")))))</f>
        <v/>
      </c>
      <c r="K808" s="5" t="n"/>
      <c r="O808">
        <f>VALUE(LEFT($M808,1))*VALUE(LEFT($N808,1))</f>
        <v/>
      </c>
      <c r="P808">
        <f>IF($O808&gt;=20,"Critical",IF($O808&gt;=15,"High",IF($O808&gt;=10,"Medium",IF($O808&gt;=5,"Low",IF($O808&gt;0,"Very Low","")))))</f>
        <v/>
      </c>
      <c r="S808" s="5" t="n"/>
      <c r="V808" s="5" t="n"/>
      <c r="W808" s="6" t="n"/>
      <c r="X808" s="6" t="n"/>
      <c r="Z808" s="5" t="n"/>
    </row>
    <row r="809">
      <c r="D809" s="5" t="n"/>
      <c r="E809" s="5" t="n"/>
      <c r="F809" s="5" t="n"/>
      <c r="I809">
        <f>VALUE(LEFT($G809,1))*VALUE(LEFT($H809,1))</f>
        <v/>
      </c>
      <c r="J809">
        <f>IF($I809&gt;=20,"Critical",IF($I809&gt;=15,"High",IF($I809&gt;=10,"Medium",IF($I809&gt;=5,"Low",IF($I809&gt;0,"Very Low","")))))</f>
        <v/>
      </c>
      <c r="K809" s="5" t="n"/>
      <c r="O809">
        <f>VALUE(LEFT($M809,1))*VALUE(LEFT($N809,1))</f>
        <v/>
      </c>
      <c r="P809">
        <f>IF($O809&gt;=20,"Critical",IF($O809&gt;=15,"High",IF($O809&gt;=10,"Medium",IF($O809&gt;=5,"Low",IF($O809&gt;0,"Very Low","")))))</f>
        <v/>
      </c>
      <c r="S809" s="5" t="n"/>
      <c r="V809" s="5" t="n"/>
      <c r="W809" s="6" t="n"/>
      <c r="X809" s="6" t="n"/>
      <c r="Z809" s="5" t="n"/>
    </row>
    <row r="810">
      <c r="D810" s="5" t="n"/>
      <c r="E810" s="5" t="n"/>
      <c r="F810" s="5" t="n"/>
      <c r="I810">
        <f>VALUE(LEFT($G810,1))*VALUE(LEFT($H810,1))</f>
        <v/>
      </c>
      <c r="J810">
        <f>IF($I810&gt;=20,"Critical",IF($I810&gt;=15,"High",IF($I810&gt;=10,"Medium",IF($I810&gt;=5,"Low",IF($I810&gt;0,"Very Low","")))))</f>
        <v/>
      </c>
      <c r="K810" s="5" t="n"/>
      <c r="O810">
        <f>VALUE(LEFT($M810,1))*VALUE(LEFT($N810,1))</f>
        <v/>
      </c>
      <c r="P810">
        <f>IF($O810&gt;=20,"Critical",IF($O810&gt;=15,"High",IF($O810&gt;=10,"Medium",IF($O810&gt;=5,"Low",IF($O810&gt;0,"Very Low","")))))</f>
        <v/>
      </c>
      <c r="S810" s="5" t="n"/>
      <c r="V810" s="5" t="n"/>
      <c r="W810" s="6" t="n"/>
      <c r="X810" s="6" t="n"/>
      <c r="Z810" s="5" t="n"/>
    </row>
    <row r="811">
      <c r="D811" s="5" t="n"/>
      <c r="E811" s="5" t="n"/>
      <c r="F811" s="5" t="n"/>
      <c r="I811">
        <f>VALUE(LEFT($G811,1))*VALUE(LEFT($H811,1))</f>
        <v/>
      </c>
      <c r="J811">
        <f>IF($I811&gt;=20,"Critical",IF($I811&gt;=15,"High",IF($I811&gt;=10,"Medium",IF($I811&gt;=5,"Low",IF($I811&gt;0,"Very Low","")))))</f>
        <v/>
      </c>
      <c r="K811" s="5" t="n"/>
      <c r="O811">
        <f>VALUE(LEFT($M811,1))*VALUE(LEFT($N811,1))</f>
        <v/>
      </c>
      <c r="P811">
        <f>IF($O811&gt;=20,"Critical",IF($O811&gt;=15,"High",IF($O811&gt;=10,"Medium",IF($O811&gt;=5,"Low",IF($O811&gt;0,"Very Low","")))))</f>
        <v/>
      </c>
      <c r="S811" s="5" t="n"/>
      <c r="V811" s="5" t="n"/>
      <c r="W811" s="6" t="n"/>
      <c r="X811" s="6" t="n"/>
      <c r="Z811" s="5" t="n"/>
    </row>
    <row r="812">
      <c r="D812" s="5" t="n"/>
      <c r="E812" s="5" t="n"/>
      <c r="F812" s="5" t="n"/>
      <c r="I812">
        <f>VALUE(LEFT($G812,1))*VALUE(LEFT($H812,1))</f>
        <v/>
      </c>
      <c r="J812">
        <f>IF($I812&gt;=20,"Critical",IF($I812&gt;=15,"High",IF($I812&gt;=10,"Medium",IF($I812&gt;=5,"Low",IF($I812&gt;0,"Very Low","")))))</f>
        <v/>
      </c>
      <c r="K812" s="5" t="n"/>
      <c r="O812">
        <f>VALUE(LEFT($M812,1))*VALUE(LEFT($N812,1))</f>
        <v/>
      </c>
      <c r="P812">
        <f>IF($O812&gt;=20,"Critical",IF($O812&gt;=15,"High",IF($O812&gt;=10,"Medium",IF($O812&gt;=5,"Low",IF($O812&gt;0,"Very Low","")))))</f>
        <v/>
      </c>
      <c r="S812" s="5" t="n"/>
      <c r="V812" s="5" t="n"/>
      <c r="W812" s="6" t="n"/>
      <c r="X812" s="6" t="n"/>
      <c r="Z812" s="5" t="n"/>
    </row>
    <row r="813">
      <c r="D813" s="5" t="n"/>
      <c r="E813" s="5" t="n"/>
      <c r="F813" s="5" t="n"/>
      <c r="I813">
        <f>VALUE(LEFT($G813,1))*VALUE(LEFT($H813,1))</f>
        <v/>
      </c>
      <c r="J813">
        <f>IF($I813&gt;=20,"Critical",IF($I813&gt;=15,"High",IF($I813&gt;=10,"Medium",IF($I813&gt;=5,"Low",IF($I813&gt;0,"Very Low","")))))</f>
        <v/>
      </c>
      <c r="K813" s="5" t="n"/>
      <c r="O813">
        <f>VALUE(LEFT($M813,1))*VALUE(LEFT($N813,1))</f>
        <v/>
      </c>
      <c r="P813">
        <f>IF($O813&gt;=20,"Critical",IF($O813&gt;=15,"High",IF($O813&gt;=10,"Medium",IF($O813&gt;=5,"Low",IF($O813&gt;0,"Very Low","")))))</f>
        <v/>
      </c>
      <c r="S813" s="5" t="n"/>
      <c r="V813" s="5" t="n"/>
      <c r="W813" s="6" t="n"/>
      <c r="X813" s="6" t="n"/>
      <c r="Z813" s="5" t="n"/>
    </row>
    <row r="814">
      <c r="D814" s="5" t="n"/>
      <c r="E814" s="5" t="n"/>
      <c r="F814" s="5" t="n"/>
      <c r="I814">
        <f>VALUE(LEFT($G814,1))*VALUE(LEFT($H814,1))</f>
        <v/>
      </c>
      <c r="J814">
        <f>IF($I814&gt;=20,"Critical",IF($I814&gt;=15,"High",IF($I814&gt;=10,"Medium",IF($I814&gt;=5,"Low",IF($I814&gt;0,"Very Low","")))))</f>
        <v/>
      </c>
      <c r="K814" s="5" t="n"/>
      <c r="O814">
        <f>VALUE(LEFT($M814,1))*VALUE(LEFT($N814,1))</f>
        <v/>
      </c>
      <c r="P814">
        <f>IF($O814&gt;=20,"Critical",IF($O814&gt;=15,"High",IF($O814&gt;=10,"Medium",IF($O814&gt;=5,"Low",IF($O814&gt;0,"Very Low","")))))</f>
        <v/>
      </c>
      <c r="S814" s="5" t="n"/>
      <c r="V814" s="5" t="n"/>
      <c r="W814" s="6" t="n"/>
      <c r="X814" s="6" t="n"/>
      <c r="Z814" s="5" t="n"/>
    </row>
    <row r="815">
      <c r="D815" s="5" t="n"/>
      <c r="E815" s="5" t="n"/>
      <c r="F815" s="5" t="n"/>
      <c r="I815">
        <f>VALUE(LEFT($G815,1))*VALUE(LEFT($H815,1))</f>
        <v/>
      </c>
      <c r="J815">
        <f>IF($I815&gt;=20,"Critical",IF($I815&gt;=15,"High",IF($I815&gt;=10,"Medium",IF($I815&gt;=5,"Low",IF($I815&gt;0,"Very Low","")))))</f>
        <v/>
      </c>
      <c r="K815" s="5" t="n"/>
      <c r="O815">
        <f>VALUE(LEFT($M815,1))*VALUE(LEFT($N815,1))</f>
        <v/>
      </c>
      <c r="P815">
        <f>IF($O815&gt;=20,"Critical",IF($O815&gt;=15,"High",IF($O815&gt;=10,"Medium",IF($O815&gt;=5,"Low",IF($O815&gt;0,"Very Low","")))))</f>
        <v/>
      </c>
      <c r="S815" s="5" t="n"/>
      <c r="V815" s="5" t="n"/>
      <c r="W815" s="6" t="n"/>
      <c r="X815" s="6" t="n"/>
      <c r="Z815" s="5" t="n"/>
    </row>
    <row r="816">
      <c r="D816" s="5" t="n"/>
      <c r="E816" s="5" t="n"/>
      <c r="F816" s="5" t="n"/>
      <c r="I816">
        <f>VALUE(LEFT($G816,1))*VALUE(LEFT($H816,1))</f>
        <v/>
      </c>
      <c r="J816">
        <f>IF($I816&gt;=20,"Critical",IF($I816&gt;=15,"High",IF($I816&gt;=10,"Medium",IF($I816&gt;=5,"Low",IF($I816&gt;0,"Very Low","")))))</f>
        <v/>
      </c>
      <c r="K816" s="5" t="n"/>
      <c r="O816">
        <f>VALUE(LEFT($M816,1))*VALUE(LEFT($N816,1))</f>
        <v/>
      </c>
      <c r="P816">
        <f>IF($O816&gt;=20,"Critical",IF($O816&gt;=15,"High",IF($O816&gt;=10,"Medium",IF($O816&gt;=5,"Low",IF($O816&gt;0,"Very Low","")))))</f>
        <v/>
      </c>
      <c r="S816" s="5" t="n"/>
      <c r="V816" s="5" t="n"/>
      <c r="W816" s="6" t="n"/>
      <c r="X816" s="6" t="n"/>
      <c r="Z816" s="5" t="n"/>
    </row>
    <row r="817">
      <c r="D817" s="5" t="n"/>
      <c r="E817" s="5" t="n"/>
      <c r="F817" s="5" t="n"/>
      <c r="I817">
        <f>VALUE(LEFT($G817,1))*VALUE(LEFT($H817,1))</f>
        <v/>
      </c>
      <c r="J817">
        <f>IF($I817&gt;=20,"Critical",IF($I817&gt;=15,"High",IF($I817&gt;=10,"Medium",IF($I817&gt;=5,"Low",IF($I817&gt;0,"Very Low","")))))</f>
        <v/>
      </c>
      <c r="K817" s="5" t="n"/>
      <c r="O817">
        <f>VALUE(LEFT($M817,1))*VALUE(LEFT($N817,1))</f>
        <v/>
      </c>
      <c r="P817">
        <f>IF($O817&gt;=20,"Critical",IF($O817&gt;=15,"High",IF($O817&gt;=10,"Medium",IF($O817&gt;=5,"Low",IF($O817&gt;0,"Very Low","")))))</f>
        <v/>
      </c>
      <c r="S817" s="5" t="n"/>
      <c r="V817" s="5" t="n"/>
      <c r="W817" s="6" t="n"/>
      <c r="X817" s="6" t="n"/>
      <c r="Z817" s="5" t="n"/>
    </row>
    <row r="818">
      <c r="D818" s="5" t="n"/>
      <c r="E818" s="5" t="n"/>
      <c r="F818" s="5" t="n"/>
      <c r="I818">
        <f>VALUE(LEFT($G818,1))*VALUE(LEFT($H818,1))</f>
        <v/>
      </c>
      <c r="J818">
        <f>IF($I818&gt;=20,"Critical",IF($I818&gt;=15,"High",IF($I818&gt;=10,"Medium",IF($I818&gt;=5,"Low",IF($I818&gt;0,"Very Low","")))))</f>
        <v/>
      </c>
      <c r="K818" s="5" t="n"/>
      <c r="O818">
        <f>VALUE(LEFT($M818,1))*VALUE(LEFT($N818,1))</f>
        <v/>
      </c>
      <c r="P818">
        <f>IF($O818&gt;=20,"Critical",IF($O818&gt;=15,"High",IF($O818&gt;=10,"Medium",IF($O818&gt;=5,"Low",IF($O818&gt;0,"Very Low","")))))</f>
        <v/>
      </c>
      <c r="S818" s="5" t="n"/>
      <c r="V818" s="5" t="n"/>
      <c r="W818" s="6" t="n"/>
      <c r="X818" s="6" t="n"/>
      <c r="Z818" s="5" t="n"/>
    </row>
    <row r="819">
      <c r="D819" s="5" t="n"/>
      <c r="E819" s="5" t="n"/>
      <c r="F819" s="5" t="n"/>
      <c r="I819">
        <f>VALUE(LEFT($G819,1))*VALUE(LEFT($H819,1))</f>
        <v/>
      </c>
      <c r="J819">
        <f>IF($I819&gt;=20,"Critical",IF($I819&gt;=15,"High",IF($I819&gt;=10,"Medium",IF($I819&gt;=5,"Low",IF($I819&gt;0,"Very Low","")))))</f>
        <v/>
      </c>
      <c r="K819" s="5" t="n"/>
      <c r="O819">
        <f>VALUE(LEFT($M819,1))*VALUE(LEFT($N819,1))</f>
        <v/>
      </c>
      <c r="P819">
        <f>IF($O819&gt;=20,"Critical",IF($O819&gt;=15,"High",IF($O819&gt;=10,"Medium",IF($O819&gt;=5,"Low",IF($O819&gt;0,"Very Low","")))))</f>
        <v/>
      </c>
      <c r="S819" s="5" t="n"/>
      <c r="V819" s="5" t="n"/>
      <c r="W819" s="6" t="n"/>
      <c r="X819" s="6" t="n"/>
      <c r="Z819" s="5" t="n"/>
    </row>
    <row r="820">
      <c r="D820" s="5" t="n"/>
      <c r="E820" s="5" t="n"/>
      <c r="F820" s="5" t="n"/>
      <c r="I820">
        <f>VALUE(LEFT($G820,1))*VALUE(LEFT($H820,1))</f>
        <v/>
      </c>
      <c r="J820">
        <f>IF($I820&gt;=20,"Critical",IF($I820&gt;=15,"High",IF($I820&gt;=10,"Medium",IF($I820&gt;=5,"Low",IF($I820&gt;0,"Very Low","")))))</f>
        <v/>
      </c>
      <c r="K820" s="5" t="n"/>
      <c r="O820">
        <f>VALUE(LEFT($M820,1))*VALUE(LEFT($N820,1))</f>
        <v/>
      </c>
      <c r="P820">
        <f>IF($O820&gt;=20,"Critical",IF($O820&gt;=15,"High",IF($O820&gt;=10,"Medium",IF($O820&gt;=5,"Low",IF($O820&gt;0,"Very Low","")))))</f>
        <v/>
      </c>
      <c r="S820" s="5" t="n"/>
      <c r="V820" s="5" t="n"/>
      <c r="W820" s="6" t="n"/>
      <c r="X820" s="6" t="n"/>
      <c r="Z820" s="5" t="n"/>
    </row>
    <row r="821">
      <c r="D821" s="5" t="n"/>
      <c r="E821" s="5" t="n"/>
      <c r="F821" s="5" t="n"/>
      <c r="I821">
        <f>VALUE(LEFT($G821,1))*VALUE(LEFT($H821,1))</f>
        <v/>
      </c>
      <c r="J821">
        <f>IF($I821&gt;=20,"Critical",IF($I821&gt;=15,"High",IF($I821&gt;=10,"Medium",IF($I821&gt;=5,"Low",IF($I821&gt;0,"Very Low","")))))</f>
        <v/>
      </c>
      <c r="K821" s="5" t="n"/>
      <c r="O821">
        <f>VALUE(LEFT($M821,1))*VALUE(LEFT($N821,1))</f>
        <v/>
      </c>
      <c r="P821">
        <f>IF($O821&gt;=20,"Critical",IF($O821&gt;=15,"High",IF($O821&gt;=10,"Medium",IF($O821&gt;=5,"Low",IF($O821&gt;0,"Very Low","")))))</f>
        <v/>
      </c>
      <c r="S821" s="5" t="n"/>
      <c r="V821" s="5" t="n"/>
      <c r="W821" s="6" t="n"/>
      <c r="X821" s="6" t="n"/>
      <c r="Z821" s="5" t="n"/>
    </row>
    <row r="822">
      <c r="D822" s="5" t="n"/>
      <c r="E822" s="5" t="n"/>
      <c r="F822" s="5" t="n"/>
      <c r="I822">
        <f>VALUE(LEFT($G822,1))*VALUE(LEFT($H822,1))</f>
        <v/>
      </c>
      <c r="J822">
        <f>IF($I822&gt;=20,"Critical",IF($I822&gt;=15,"High",IF($I822&gt;=10,"Medium",IF($I822&gt;=5,"Low",IF($I822&gt;0,"Very Low","")))))</f>
        <v/>
      </c>
      <c r="K822" s="5" t="n"/>
      <c r="O822">
        <f>VALUE(LEFT($M822,1))*VALUE(LEFT($N822,1))</f>
        <v/>
      </c>
      <c r="P822">
        <f>IF($O822&gt;=20,"Critical",IF($O822&gt;=15,"High",IF($O822&gt;=10,"Medium",IF($O822&gt;=5,"Low",IF($O822&gt;0,"Very Low","")))))</f>
        <v/>
      </c>
      <c r="S822" s="5" t="n"/>
      <c r="V822" s="5" t="n"/>
      <c r="W822" s="6" t="n"/>
      <c r="X822" s="6" t="n"/>
      <c r="Z822" s="5" t="n"/>
    </row>
    <row r="823">
      <c r="D823" s="5" t="n"/>
      <c r="E823" s="5" t="n"/>
      <c r="F823" s="5" t="n"/>
      <c r="I823">
        <f>VALUE(LEFT($G823,1))*VALUE(LEFT($H823,1))</f>
        <v/>
      </c>
      <c r="J823">
        <f>IF($I823&gt;=20,"Critical",IF($I823&gt;=15,"High",IF($I823&gt;=10,"Medium",IF($I823&gt;=5,"Low",IF($I823&gt;0,"Very Low","")))))</f>
        <v/>
      </c>
      <c r="K823" s="5" t="n"/>
      <c r="O823">
        <f>VALUE(LEFT($M823,1))*VALUE(LEFT($N823,1))</f>
        <v/>
      </c>
      <c r="P823">
        <f>IF($O823&gt;=20,"Critical",IF($O823&gt;=15,"High",IF($O823&gt;=10,"Medium",IF($O823&gt;=5,"Low",IF($O823&gt;0,"Very Low","")))))</f>
        <v/>
      </c>
      <c r="S823" s="5" t="n"/>
      <c r="V823" s="5" t="n"/>
      <c r="W823" s="6" t="n"/>
      <c r="X823" s="6" t="n"/>
      <c r="Z823" s="5" t="n"/>
    </row>
    <row r="824">
      <c r="D824" s="5" t="n"/>
      <c r="E824" s="5" t="n"/>
      <c r="F824" s="5" t="n"/>
      <c r="I824">
        <f>VALUE(LEFT($G824,1))*VALUE(LEFT($H824,1))</f>
        <v/>
      </c>
      <c r="J824">
        <f>IF($I824&gt;=20,"Critical",IF($I824&gt;=15,"High",IF($I824&gt;=10,"Medium",IF($I824&gt;=5,"Low",IF($I824&gt;0,"Very Low","")))))</f>
        <v/>
      </c>
      <c r="K824" s="5" t="n"/>
      <c r="O824">
        <f>VALUE(LEFT($M824,1))*VALUE(LEFT($N824,1))</f>
        <v/>
      </c>
      <c r="P824">
        <f>IF($O824&gt;=20,"Critical",IF($O824&gt;=15,"High",IF($O824&gt;=10,"Medium",IF($O824&gt;=5,"Low",IF($O824&gt;0,"Very Low","")))))</f>
        <v/>
      </c>
      <c r="S824" s="5" t="n"/>
      <c r="V824" s="5" t="n"/>
      <c r="W824" s="6" t="n"/>
      <c r="X824" s="6" t="n"/>
      <c r="Z824" s="5" t="n"/>
    </row>
    <row r="825">
      <c r="D825" s="5" t="n"/>
      <c r="E825" s="5" t="n"/>
      <c r="F825" s="5" t="n"/>
      <c r="I825">
        <f>VALUE(LEFT($G825,1))*VALUE(LEFT($H825,1))</f>
        <v/>
      </c>
      <c r="J825">
        <f>IF($I825&gt;=20,"Critical",IF($I825&gt;=15,"High",IF($I825&gt;=10,"Medium",IF($I825&gt;=5,"Low",IF($I825&gt;0,"Very Low","")))))</f>
        <v/>
      </c>
      <c r="K825" s="5" t="n"/>
      <c r="O825">
        <f>VALUE(LEFT($M825,1))*VALUE(LEFT($N825,1))</f>
        <v/>
      </c>
      <c r="P825">
        <f>IF($O825&gt;=20,"Critical",IF($O825&gt;=15,"High",IF($O825&gt;=10,"Medium",IF($O825&gt;=5,"Low",IF($O825&gt;0,"Very Low","")))))</f>
        <v/>
      </c>
      <c r="S825" s="5" t="n"/>
      <c r="V825" s="5" t="n"/>
      <c r="W825" s="6" t="n"/>
      <c r="X825" s="6" t="n"/>
      <c r="Z825" s="5" t="n"/>
    </row>
    <row r="826">
      <c r="D826" s="5" t="n"/>
      <c r="E826" s="5" t="n"/>
      <c r="F826" s="5" t="n"/>
      <c r="I826">
        <f>VALUE(LEFT($G826,1))*VALUE(LEFT($H826,1))</f>
        <v/>
      </c>
      <c r="J826">
        <f>IF($I826&gt;=20,"Critical",IF($I826&gt;=15,"High",IF($I826&gt;=10,"Medium",IF($I826&gt;=5,"Low",IF($I826&gt;0,"Very Low","")))))</f>
        <v/>
      </c>
      <c r="K826" s="5" t="n"/>
      <c r="O826">
        <f>VALUE(LEFT($M826,1))*VALUE(LEFT($N826,1))</f>
        <v/>
      </c>
      <c r="P826">
        <f>IF($O826&gt;=20,"Critical",IF($O826&gt;=15,"High",IF($O826&gt;=10,"Medium",IF($O826&gt;=5,"Low",IF($O826&gt;0,"Very Low","")))))</f>
        <v/>
      </c>
      <c r="S826" s="5" t="n"/>
      <c r="V826" s="5" t="n"/>
      <c r="W826" s="6" t="n"/>
      <c r="X826" s="6" t="n"/>
      <c r="Z826" s="5" t="n"/>
    </row>
    <row r="827">
      <c r="D827" s="5" t="n"/>
      <c r="E827" s="5" t="n"/>
      <c r="F827" s="5" t="n"/>
      <c r="I827">
        <f>VALUE(LEFT($G827,1))*VALUE(LEFT($H827,1))</f>
        <v/>
      </c>
      <c r="J827">
        <f>IF($I827&gt;=20,"Critical",IF($I827&gt;=15,"High",IF($I827&gt;=10,"Medium",IF($I827&gt;=5,"Low",IF($I827&gt;0,"Very Low","")))))</f>
        <v/>
      </c>
      <c r="K827" s="5" t="n"/>
      <c r="O827">
        <f>VALUE(LEFT($M827,1))*VALUE(LEFT($N827,1))</f>
        <v/>
      </c>
      <c r="P827">
        <f>IF($O827&gt;=20,"Critical",IF($O827&gt;=15,"High",IF($O827&gt;=10,"Medium",IF($O827&gt;=5,"Low",IF($O827&gt;0,"Very Low","")))))</f>
        <v/>
      </c>
      <c r="S827" s="5" t="n"/>
      <c r="V827" s="5" t="n"/>
      <c r="W827" s="6" t="n"/>
      <c r="X827" s="6" t="n"/>
      <c r="Z827" s="5" t="n"/>
    </row>
    <row r="828">
      <c r="D828" s="5" t="n"/>
      <c r="E828" s="5" t="n"/>
      <c r="F828" s="5" t="n"/>
      <c r="I828">
        <f>VALUE(LEFT($G828,1))*VALUE(LEFT($H828,1))</f>
        <v/>
      </c>
      <c r="J828">
        <f>IF($I828&gt;=20,"Critical",IF($I828&gt;=15,"High",IF($I828&gt;=10,"Medium",IF($I828&gt;=5,"Low",IF($I828&gt;0,"Very Low","")))))</f>
        <v/>
      </c>
      <c r="K828" s="5" t="n"/>
      <c r="O828">
        <f>VALUE(LEFT($M828,1))*VALUE(LEFT($N828,1))</f>
        <v/>
      </c>
      <c r="P828">
        <f>IF($O828&gt;=20,"Critical",IF($O828&gt;=15,"High",IF($O828&gt;=10,"Medium",IF($O828&gt;=5,"Low",IF($O828&gt;0,"Very Low","")))))</f>
        <v/>
      </c>
      <c r="S828" s="5" t="n"/>
      <c r="V828" s="5" t="n"/>
      <c r="W828" s="6" t="n"/>
      <c r="X828" s="6" t="n"/>
      <c r="Z828" s="5" t="n"/>
    </row>
    <row r="829">
      <c r="D829" s="5" t="n"/>
      <c r="E829" s="5" t="n"/>
      <c r="F829" s="5" t="n"/>
      <c r="I829">
        <f>VALUE(LEFT($G829,1))*VALUE(LEFT($H829,1))</f>
        <v/>
      </c>
      <c r="J829">
        <f>IF($I829&gt;=20,"Critical",IF($I829&gt;=15,"High",IF($I829&gt;=10,"Medium",IF($I829&gt;=5,"Low",IF($I829&gt;0,"Very Low","")))))</f>
        <v/>
      </c>
      <c r="K829" s="5" t="n"/>
      <c r="O829">
        <f>VALUE(LEFT($M829,1))*VALUE(LEFT($N829,1))</f>
        <v/>
      </c>
      <c r="P829">
        <f>IF($O829&gt;=20,"Critical",IF($O829&gt;=15,"High",IF($O829&gt;=10,"Medium",IF($O829&gt;=5,"Low",IF($O829&gt;0,"Very Low","")))))</f>
        <v/>
      </c>
      <c r="S829" s="5" t="n"/>
      <c r="V829" s="5" t="n"/>
      <c r="W829" s="6" t="n"/>
      <c r="X829" s="6" t="n"/>
      <c r="Z829" s="5" t="n"/>
    </row>
    <row r="830">
      <c r="D830" s="5" t="n"/>
      <c r="E830" s="5" t="n"/>
      <c r="F830" s="5" t="n"/>
      <c r="I830">
        <f>VALUE(LEFT($G830,1))*VALUE(LEFT($H830,1))</f>
        <v/>
      </c>
      <c r="J830">
        <f>IF($I830&gt;=20,"Critical",IF($I830&gt;=15,"High",IF($I830&gt;=10,"Medium",IF($I830&gt;=5,"Low",IF($I830&gt;0,"Very Low","")))))</f>
        <v/>
      </c>
      <c r="K830" s="5" t="n"/>
      <c r="O830">
        <f>VALUE(LEFT($M830,1))*VALUE(LEFT($N830,1))</f>
        <v/>
      </c>
      <c r="P830">
        <f>IF($O830&gt;=20,"Critical",IF($O830&gt;=15,"High",IF($O830&gt;=10,"Medium",IF($O830&gt;=5,"Low",IF($O830&gt;0,"Very Low","")))))</f>
        <v/>
      </c>
      <c r="S830" s="5" t="n"/>
      <c r="V830" s="5" t="n"/>
      <c r="W830" s="6" t="n"/>
      <c r="X830" s="6" t="n"/>
      <c r="Z830" s="5" t="n"/>
    </row>
    <row r="831">
      <c r="D831" s="5" t="n"/>
      <c r="E831" s="5" t="n"/>
      <c r="F831" s="5" t="n"/>
      <c r="I831">
        <f>VALUE(LEFT($G831,1))*VALUE(LEFT($H831,1))</f>
        <v/>
      </c>
      <c r="J831">
        <f>IF($I831&gt;=20,"Critical",IF($I831&gt;=15,"High",IF($I831&gt;=10,"Medium",IF($I831&gt;=5,"Low",IF($I831&gt;0,"Very Low","")))))</f>
        <v/>
      </c>
      <c r="K831" s="5" t="n"/>
      <c r="O831">
        <f>VALUE(LEFT($M831,1))*VALUE(LEFT($N831,1))</f>
        <v/>
      </c>
      <c r="P831">
        <f>IF($O831&gt;=20,"Critical",IF($O831&gt;=15,"High",IF($O831&gt;=10,"Medium",IF($O831&gt;=5,"Low",IF($O831&gt;0,"Very Low","")))))</f>
        <v/>
      </c>
      <c r="S831" s="5" t="n"/>
      <c r="V831" s="5" t="n"/>
      <c r="W831" s="6" t="n"/>
      <c r="X831" s="6" t="n"/>
      <c r="Z831" s="5" t="n"/>
    </row>
    <row r="832">
      <c r="D832" s="5" t="n"/>
      <c r="E832" s="5" t="n"/>
      <c r="F832" s="5" t="n"/>
      <c r="I832">
        <f>VALUE(LEFT($G832,1))*VALUE(LEFT($H832,1))</f>
        <v/>
      </c>
      <c r="J832">
        <f>IF($I832&gt;=20,"Critical",IF($I832&gt;=15,"High",IF($I832&gt;=10,"Medium",IF($I832&gt;=5,"Low",IF($I832&gt;0,"Very Low","")))))</f>
        <v/>
      </c>
      <c r="K832" s="5" t="n"/>
      <c r="O832">
        <f>VALUE(LEFT($M832,1))*VALUE(LEFT($N832,1))</f>
        <v/>
      </c>
      <c r="P832">
        <f>IF($O832&gt;=20,"Critical",IF($O832&gt;=15,"High",IF($O832&gt;=10,"Medium",IF($O832&gt;=5,"Low",IF($O832&gt;0,"Very Low","")))))</f>
        <v/>
      </c>
      <c r="S832" s="5" t="n"/>
      <c r="V832" s="5" t="n"/>
      <c r="W832" s="6" t="n"/>
      <c r="X832" s="6" t="n"/>
      <c r="Z832" s="5" t="n"/>
    </row>
    <row r="833">
      <c r="D833" s="5" t="n"/>
      <c r="E833" s="5" t="n"/>
      <c r="F833" s="5" t="n"/>
      <c r="I833">
        <f>VALUE(LEFT($G833,1))*VALUE(LEFT($H833,1))</f>
        <v/>
      </c>
      <c r="J833">
        <f>IF($I833&gt;=20,"Critical",IF($I833&gt;=15,"High",IF($I833&gt;=10,"Medium",IF($I833&gt;=5,"Low",IF($I833&gt;0,"Very Low","")))))</f>
        <v/>
      </c>
      <c r="K833" s="5" t="n"/>
      <c r="O833">
        <f>VALUE(LEFT($M833,1))*VALUE(LEFT($N833,1))</f>
        <v/>
      </c>
      <c r="P833">
        <f>IF($O833&gt;=20,"Critical",IF($O833&gt;=15,"High",IF($O833&gt;=10,"Medium",IF($O833&gt;=5,"Low",IF($O833&gt;0,"Very Low","")))))</f>
        <v/>
      </c>
      <c r="S833" s="5" t="n"/>
      <c r="V833" s="5" t="n"/>
      <c r="W833" s="6" t="n"/>
      <c r="X833" s="6" t="n"/>
      <c r="Z833" s="5" t="n"/>
    </row>
    <row r="834">
      <c r="D834" s="5" t="n"/>
      <c r="E834" s="5" t="n"/>
      <c r="F834" s="5" t="n"/>
      <c r="I834">
        <f>VALUE(LEFT($G834,1))*VALUE(LEFT($H834,1))</f>
        <v/>
      </c>
      <c r="J834">
        <f>IF($I834&gt;=20,"Critical",IF($I834&gt;=15,"High",IF($I834&gt;=10,"Medium",IF($I834&gt;=5,"Low",IF($I834&gt;0,"Very Low","")))))</f>
        <v/>
      </c>
      <c r="K834" s="5" t="n"/>
      <c r="O834">
        <f>VALUE(LEFT($M834,1))*VALUE(LEFT($N834,1))</f>
        <v/>
      </c>
      <c r="P834">
        <f>IF($O834&gt;=20,"Critical",IF($O834&gt;=15,"High",IF($O834&gt;=10,"Medium",IF($O834&gt;=5,"Low",IF($O834&gt;0,"Very Low","")))))</f>
        <v/>
      </c>
      <c r="S834" s="5" t="n"/>
      <c r="V834" s="5" t="n"/>
      <c r="W834" s="6" t="n"/>
      <c r="X834" s="6" t="n"/>
      <c r="Z834" s="5" t="n"/>
    </row>
    <row r="835">
      <c r="D835" s="5" t="n"/>
      <c r="E835" s="5" t="n"/>
      <c r="F835" s="5" t="n"/>
      <c r="I835">
        <f>VALUE(LEFT($G835,1))*VALUE(LEFT($H835,1))</f>
        <v/>
      </c>
      <c r="J835">
        <f>IF($I835&gt;=20,"Critical",IF($I835&gt;=15,"High",IF($I835&gt;=10,"Medium",IF($I835&gt;=5,"Low",IF($I835&gt;0,"Very Low","")))))</f>
        <v/>
      </c>
      <c r="K835" s="5" t="n"/>
      <c r="O835">
        <f>VALUE(LEFT($M835,1))*VALUE(LEFT($N835,1))</f>
        <v/>
      </c>
      <c r="P835">
        <f>IF($O835&gt;=20,"Critical",IF($O835&gt;=15,"High",IF($O835&gt;=10,"Medium",IF($O835&gt;=5,"Low",IF($O835&gt;0,"Very Low","")))))</f>
        <v/>
      </c>
      <c r="S835" s="5" t="n"/>
      <c r="V835" s="5" t="n"/>
      <c r="W835" s="6" t="n"/>
      <c r="X835" s="6" t="n"/>
      <c r="Z835" s="5" t="n"/>
    </row>
    <row r="836">
      <c r="D836" s="5" t="n"/>
      <c r="E836" s="5" t="n"/>
      <c r="F836" s="5" t="n"/>
      <c r="I836">
        <f>VALUE(LEFT($G836,1))*VALUE(LEFT($H836,1))</f>
        <v/>
      </c>
      <c r="J836">
        <f>IF($I836&gt;=20,"Critical",IF($I836&gt;=15,"High",IF($I836&gt;=10,"Medium",IF($I836&gt;=5,"Low",IF($I836&gt;0,"Very Low","")))))</f>
        <v/>
      </c>
      <c r="K836" s="5" t="n"/>
      <c r="O836">
        <f>VALUE(LEFT($M836,1))*VALUE(LEFT($N836,1))</f>
        <v/>
      </c>
      <c r="P836">
        <f>IF($O836&gt;=20,"Critical",IF($O836&gt;=15,"High",IF($O836&gt;=10,"Medium",IF($O836&gt;=5,"Low",IF($O836&gt;0,"Very Low","")))))</f>
        <v/>
      </c>
      <c r="S836" s="5" t="n"/>
      <c r="V836" s="5" t="n"/>
      <c r="W836" s="6" t="n"/>
      <c r="X836" s="6" t="n"/>
      <c r="Z836" s="5" t="n"/>
    </row>
    <row r="837">
      <c r="D837" s="5" t="n"/>
      <c r="E837" s="5" t="n"/>
      <c r="F837" s="5" t="n"/>
      <c r="I837">
        <f>VALUE(LEFT($G837,1))*VALUE(LEFT($H837,1))</f>
        <v/>
      </c>
      <c r="J837">
        <f>IF($I837&gt;=20,"Critical",IF($I837&gt;=15,"High",IF($I837&gt;=10,"Medium",IF($I837&gt;=5,"Low",IF($I837&gt;0,"Very Low","")))))</f>
        <v/>
      </c>
      <c r="K837" s="5" t="n"/>
      <c r="O837">
        <f>VALUE(LEFT($M837,1))*VALUE(LEFT($N837,1))</f>
        <v/>
      </c>
      <c r="P837">
        <f>IF($O837&gt;=20,"Critical",IF($O837&gt;=15,"High",IF($O837&gt;=10,"Medium",IF($O837&gt;=5,"Low",IF($O837&gt;0,"Very Low","")))))</f>
        <v/>
      </c>
      <c r="S837" s="5" t="n"/>
      <c r="V837" s="5" t="n"/>
      <c r="W837" s="6" t="n"/>
      <c r="X837" s="6" t="n"/>
      <c r="Z837" s="5" t="n"/>
    </row>
    <row r="838">
      <c r="D838" s="5" t="n"/>
      <c r="E838" s="5" t="n"/>
      <c r="F838" s="5" t="n"/>
      <c r="I838">
        <f>VALUE(LEFT($G838,1))*VALUE(LEFT($H838,1))</f>
        <v/>
      </c>
      <c r="J838">
        <f>IF($I838&gt;=20,"Critical",IF($I838&gt;=15,"High",IF($I838&gt;=10,"Medium",IF($I838&gt;=5,"Low",IF($I838&gt;0,"Very Low","")))))</f>
        <v/>
      </c>
      <c r="K838" s="5" t="n"/>
      <c r="O838">
        <f>VALUE(LEFT($M838,1))*VALUE(LEFT($N838,1))</f>
        <v/>
      </c>
      <c r="P838">
        <f>IF($O838&gt;=20,"Critical",IF($O838&gt;=15,"High",IF($O838&gt;=10,"Medium",IF($O838&gt;=5,"Low",IF($O838&gt;0,"Very Low","")))))</f>
        <v/>
      </c>
      <c r="S838" s="5" t="n"/>
      <c r="V838" s="5" t="n"/>
      <c r="W838" s="6" t="n"/>
      <c r="X838" s="6" t="n"/>
      <c r="Z838" s="5" t="n"/>
    </row>
    <row r="839">
      <c r="D839" s="5" t="n"/>
      <c r="E839" s="5" t="n"/>
      <c r="F839" s="5" t="n"/>
      <c r="I839">
        <f>VALUE(LEFT($G839,1))*VALUE(LEFT($H839,1))</f>
        <v/>
      </c>
      <c r="J839">
        <f>IF($I839&gt;=20,"Critical",IF($I839&gt;=15,"High",IF($I839&gt;=10,"Medium",IF($I839&gt;=5,"Low",IF($I839&gt;0,"Very Low","")))))</f>
        <v/>
      </c>
      <c r="K839" s="5" t="n"/>
      <c r="O839">
        <f>VALUE(LEFT($M839,1))*VALUE(LEFT($N839,1))</f>
        <v/>
      </c>
      <c r="P839">
        <f>IF($O839&gt;=20,"Critical",IF($O839&gt;=15,"High",IF($O839&gt;=10,"Medium",IF($O839&gt;=5,"Low",IF($O839&gt;0,"Very Low","")))))</f>
        <v/>
      </c>
      <c r="S839" s="5" t="n"/>
      <c r="V839" s="5" t="n"/>
      <c r="W839" s="6" t="n"/>
      <c r="X839" s="6" t="n"/>
      <c r="Z839" s="5" t="n"/>
    </row>
    <row r="840">
      <c r="D840" s="5" t="n"/>
      <c r="E840" s="5" t="n"/>
      <c r="F840" s="5" t="n"/>
      <c r="I840">
        <f>VALUE(LEFT($G840,1))*VALUE(LEFT($H840,1))</f>
        <v/>
      </c>
      <c r="J840">
        <f>IF($I840&gt;=20,"Critical",IF($I840&gt;=15,"High",IF($I840&gt;=10,"Medium",IF($I840&gt;=5,"Low",IF($I840&gt;0,"Very Low","")))))</f>
        <v/>
      </c>
      <c r="K840" s="5" t="n"/>
      <c r="O840">
        <f>VALUE(LEFT($M840,1))*VALUE(LEFT($N840,1))</f>
        <v/>
      </c>
      <c r="P840">
        <f>IF($O840&gt;=20,"Critical",IF($O840&gt;=15,"High",IF($O840&gt;=10,"Medium",IF($O840&gt;=5,"Low",IF($O840&gt;0,"Very Low","")))))</f>
        <v/>
      </c>
      <c r="S840" s="5" t="n"/>
      <c r="V840" s="5" t="n"/>
      <c r="W840" s="6" t="n"/>
      <c r="X840" s="6" t="n"/>
      <c r="Z840" s="5" t="n"/>
    </row>
    <row r="841">
      <c r="D841" s="5" t="n"/>
      <c r="E841" s="5" t="n"/>
      <c r="F841" s="5" t="n"/>
      <c r="I841">
        <f>VALUE(LEFT($G841,1))*VALUE(LEFT($H841,1))</f>
        <v/>
      </c>
      <c r="J841">
        <f>IF($I841&gt;=20,"Critical",IF($I841&gt;=15,"High",IF($I841&gt;=10,"Medium",IF($I841&gt;=5,"Low",IF($I841&gt;0,"Very Low","")))))</f>
        <v/>
      </c>
      <c r="K841" s="5" t="n"/>
      <c r="O841">
        <f>VALUE(LEFT($M841,1))*VALUE(LEFT($N841,1))</f>
        <v/>
      </c>
      <c r="P841">
        <f>IF($O841&gt;=20,"Critical",IF($O841&gt;=15,"High",IF($O841&gt;=10,"Medium",IF($O841&gt;=5,"Low",IF($O841&gt;0,"Very Low","")))))</f>
        <v/>
      </c>
      <c r="S841" s="5" t="n"/>
      <c r="V841" s="5" t="n"/>
      <c r="W841" s="6" t="n"/>
      <c r="X841" s="6" t="n"/>
      <c r="Z841" s="5" t="n"/>
    </row>
    <row r="842">
      <c r="D842" s="5" t="n"/>
      <c r="E842" s="5" t="n"/>
      <c r="F842" s="5" t="n"/>
      <c r="I842">
        <f>VALUE(LEFT($G842,1))*VALUE(LEFT($H842,1))</f>
        <v/>
      </c>
      <c r="J842">
        <f>IF($I842&gt;=20,"Critical",IF($I842&gt;=15,"High",IF($I842&gt;=10,"Medium",IF($I842&gt;=5,"Low",IF($I842&gt;0,"Very Low","")))))</f>
        <v/>
      </c>
      <c r="K842" s="5" t="n"/>
      <c r="O842">
        <f>VALUE(LEFT($M842,1))*VALUE(LEFT($N842,1))</f>
        <v/>
      </c>
      <c r="P842">
        <f>IF($O842&gt;=20,"Critical",IF($O842&gt;=15,"High",IF($O842&gt;=10,"Medium",IF($O842&gt;=5,"Low",IF($O842&gt;0,"Very Low","")))))</f>
        <v/>
      </c>
      <c r="S842" s="5" t="n"/>
      <c r="V842" s="5" t="n"/>
      <c r="W842" s="6" t="n"/>
      <c r="X842" s="6" t="n"/>
      <c r="Z842" s="5" t="n"/>
    </row>
    <row r="843">
      <c r="D843" s="5" t="n"/>
      <c r="E843" s="5" t="n"/>
      <c r="F843" s="5" t="n"/>
      <c r="I843">
        <f>VALUE(LEFT($G843,1))*VALUE(LEFT($H843,1))</f>
        <v/>
      </c>
      <c r="J843">
        <f>IF($I843&gt;=20,"Critical",IF($I843&gt;=15,"High",IF($I843&gt;=10,"Medium",IF($I843&gt;=5,"Low",IF($I843&gt;0,"Very Low","")))))</f>
        <v/>
      </c>
      <c r="K843" s="5" t="n"/>
      <c r="O843">
        <f>VALUE(LEFT($M843,1))*VALUE(LEFT($N843,1))</f>
        <v/>
      </c>
      <c r="P843">
        <f>IF($O843&gt;=20,"Critical",IF($O843&gt;=15,"High",IF($O843&gt;=10,"Medium",IF($O843&gt;=5,"Low",IF($O843&gt;0,"Very Low","")))))</f>
        <v/>
      </c>
      <c r="S843" s="5" t="n"/>
      <c r="V843" s="5" t="n"/>
      <c r="W843" s="6" t="n"/>
      <c r="X843" s="6" t="n"/>
      <c r="Z843" s="5" t="n"/>
    </row>
    <row r="844">
      <c r="D844" s="5" t="n"/>
      <c r="E844" s="5" t="n"/>
      <c r="F844" s="5" t="n"/>
      <c r="I844">
        <f>VALUE(LEFT($G844,1))*VALUE(LEFT($H844,1))</f>
        <v/>
      </c>
      <c r="J844">
        <f>IF($I844&gt;=20,"Critical",IF($I844&gt;=15,"High",IF($I844&gt;=10,"Medium",IF($I844&gt;=5,"Low",IF($I844&gt;0,"Very Low","")))))</f>
        <v/>
      </c>
      <c r="K844" s="5" t="n"/>
      <c r="O844">
        <f>VALUE(LEFT($M844,1))*VALUE(LEFT($N844,1))</f>
        <v/>
      </c>
      <c r="P844">
        <f>IF($O844&gt;=20,"Critical",IF($O844&gt;=15,"High",IF($O844&gt;=10,"Medium",IF($O844&gt;=5,"Low",IF($O844&gt;0,"Very Low","")))))</f>
        <v/>
      </c>
      <c r="S844" s="5" t="n"/>
      <c r="V844" s="5" t="n"/>
      <c r="W844" s="6" t="n"/>
      <c r="X844" s="6" t="n"/>
      <c r="Z844" s="5" t="n"/>
    </row>
    <row r="845">
      <c r="D845" s="5" t="n"/>
      <c r="E845" s="5" t="n"/>
      <c r="F845" s="5" t="n"/>
      <c r="I845">
        <f>VALUE(LEFT($G845,1))*VALUE(LEFT($H845,1))</f>
        <v/>
      </c>
      <c r="J845">
        <f>IF($I845&gt;=20,"Critical",IF($I845&gt;=15,"High",IF($I845&gt;=10,"Medium",IF($I845&gt;=5,"Low",IF($I845&gt;0,"Very Low","")))))</f>
        <v/>
      </c>
      <c r="K845" s="5" t="n"/>
      <c r="O845">
        <f>VALUE(LEFT($M845,1))*VALUE(LEFT($N845,1))</f>
        <v/>
      </c>
      <c r="P845">
        <f>IF($O845&gt;=20,"Critical",IF($O845&gt;=15,"High",IF($O845&gt;=10,"Medium",IF($O845&gt;=5,"Low",IF($O845&gt;0,"Very Low","")))))</f>
        <v/>
      </c>
      <c r="S845" s="5" t="n"/>
      <c r="V845" s="5" t="n"/>
      <c r="W845" s="6" t="n"/>
      <c r="X845" s="6" t="n"/>
      <c r="Z845" s="5" t="n"/>
    </row>
    <row r="846">
      <c r="D846" s="5" t="n"/>
      <c r="E846" s="5" t="n"/>
      <c r="F846" s="5" t="n"/>
      <c r="I846">
        <f>VALUE(LEFT($G846,1))*VALUE(LEFT($H846,1))</f>
        <v/>
      </c>
      <c r="J846">
        <f>IF($I846&gt;=20,"Critical",IF($I846&gt;=15,"High",IF($I846&gt;=10,"Medium",IF($I846&gt;=5,"Low",IF($I846&gt;0,"Very Low","")))))</f>
        <v/>
      </c>
      <c r="K846" s="5" t="n"/>
      <c r="O846">
        <f>VALUE(LEFT($M846,1))*VALUE(LEFT($N846,1))</f>
        <v/>
      </c>
      <c r="P846">
        <f>IF($O846&gt;=20,"Critical",IF($O846&gt;=15,"High",IF($O846&gt;=10,"Medium",IF($O846&gt;=5,"Low",IF($O846&gt;0,"Very Low","")))))</f>
        <v/>
      </c>
      <c r="S846" s="5" t="n"/>
      <c r="V846" s="5" t="n"/>
      <c r="W846" s="6" t="n"/>
      <c r="X846" s="6" t="n"/>
      <c r="Z846" s="5" t="n"/>
    </row>
    <row r="847">
      <c r="D847" s="5" t="n"/>
      <c r="E847" s="5" t="n"/>
      <c r="F847" s="5" t="n"/>
      <c r="I847">
        <f>VALUE(LEFT($G847,1))*VALUE(LEFT($H847,1))</f>
        <v/>
      </c>
      <c r="J847">
        <f>IF($I847&gt;=20,"Critical",IF($I847&gt;=15,"High",IF($I847&gt;=10,"Medium",IF($I847&gt;=5,"Low",IF($I847&gt;0,"Very Low","")))))</f>
        <v/>
      </c>
      <c r="K847" s="5" t="n"/>
      <c r="O847">
        <f>VALUE(LEFT($M847,1))*VALUE(LEFT($N847,1))</f>
        <v/>
      </c>
      <c r="P847">
        <f>IF($O847&gt;=20,"Critical",IF($O847&gt;=15,"High",IF($O847&gt;=10,"Medium",IF($O847&gt;=5,"Low",IF($O847&gt;0,"Very Low","")))))</f>
        <v/>
      </c>
      <c r="S847" s="5" t="n"/>
      <c r="V847" s="5" t="n"/>
      <c r="W847" s="6" t="n"/>
      <c r="X847" s="6" t="n"/>
      <c r="Z847" s="5" t="n"/>
    </row>
    <row r="848">
      <c r="D848" s="5" t="n"/>
      <c r="E848" s="5" t="n"/>
      <c r="F848" s="5" t="n"/>
      <c r="I848">
        <f>VALUE(LEFT($G848,1))*VALUE(LEFT($H848,1))</f>
        <v/>
      </c>
      <c r="J848">
        <f>IF($I848&gt;=20,"Critical",IF($I848&gt;=15,"High",IF($I848&gt;=10,"Medium",IF($I848&gt;=5,"Low",IF($I848&gt;0,"Very Low","")))))</f>
        <v/>
      </c>
      <c r="K848" s="5" t="n"/>
      <c r="O848">
        <f>VALUE(LEFT($M848,1))*VALUE(LEFT($N848,1))</f>
        <v/>
      </c>
      <c r="P848">
        <f>IF($O848&gt;=20,"Critical",IF($O848&gt;=15,"High",IF($O848&gt;=10,"Medium",IF($O848&gt;=5,"Low",IF($O848&gt;0,"Very Low","")))))</f>
        <v/>
      </c>
      <c r="S848" s="5" t="n"/>
      <c r="V848" s="5" t="n"/>
      <c r="W848" s="6" t="n"/>
      <c r="X848" s="6" t="n"/>
      <c r="Z848" s="5" t="n"/>
    </row>
    <row r="849">
      <c r="D849" s="5" t="n"/>
      <c r="E849" s="5" t="n"/>
      <c r="F849" s="5" t="n"/>
      <c r="I849">
        <f>VALUE(LEFT($G849,1))*VALUE(LEFT($H849,1))</f>
        <v/>
      </c>
      <c r="J849">
        <f>IF($I849&gt;=20,"Critical",IF($I849&gt;=15,"High",IF($I849&gt;=10,"Medium",IF($I849&gt;=5,"Low",IF($I849&gt;0,"Very Low","")))))</f>
        <v/>
      </c>
      <c r="K849" s="5" t="n"/>
      <c r="O849">
        <f>VALUE(LEFT($M849,1))*VALUE(LEFT($N849,1))</f>
        <v/>
      </c>
      <c r="P849">
        <f>IF($O849&gt;=20,"Critical",IF($O849&gt;=15,"High",IF($O849&gt;=10,"Medium",IF($O849&gt;=5,"Low",IF($O849&gt;0,"Very Low","")))))</f>
        <v/>
      </c>
      <c r="S849" s="5" t="n"/>
      <c r="V849" s="5" t="n"/>
      <c r="W849" s="6" t="n"/>
      <c r="X849" s="6" t="n"/>
      <c r="Z849" s="5" t="n"/>
    </row>
    <row r="850">
      <c r="D850" s="5" t="n"/>
      <c r="E850" s="5" t="n"/>
      <c r="F850" s="5" t="n"/>
      <c r="I850">
        <f>VALUE(LEFT($G850,1))*VALUE(LEFT($H850,1))</f>
        <v/>
      </c>
      <c r="J850">
        <f>IF($I850&gt;=20,"Critical",IF($I850&gt;=15,"High",IF($I850&gt;=10,"Medium",IF($I850&gt;=5,"Low",IF($I850&gt;0,"Very Low","")))))</f>
        <v/>
      </c>
      <c r="K850" s="5" t="n"/>
      <c r="O850">
        <f>VALUE(LEFT($M850,1))*VALUE(LEFT($N850,1))</f>
        <v/>
      </c>
      <c r="P850">
        <f>IF($O850&gt;=20,"Critical",IF($O850&gt;=15,"High",IF($O850&gt;=10,"Medium",IF($O850&gt;=5,"Low",IF($O850&gt;0,"Very Low","")))))</f>
        <v/>
      </c>
      <c r="S850" s="5" t="n"/>
      <c r="V850" s="5" t="n"/>
      <c r="W850" s="6" t="n"/>
      <c r="X850" s="6" t="n"/>
      <c r="Z850" s="5" t="n"/>
    </row>
    <row r="851">
      <c r="D851" s="5" t="n"/>
      <c r="E851" s="5" t="n"/>
      <c r="F851" s="5" t="n"/>
      <c r="I851">
        <f>VALUE(LEFT($G851,1))*VALUE(LEFT($H851,1))</f>
        <v/>
      </c>
      <c r="J851">
        <f>IF($I851&gt;=20,"Critical",IF($I851&gt;=15,"High",IF($I851&gt;=10,"Medium",IF($I851&gt;=5,"Low",IF($I851&gt;0,"Very Low","")))))</f>
        <v/>
      </c>
      <c r="K851" s="5" t="n"/>
      <c r="O851">
        <f>VALUE(LEFT($M851,1))*VALUE(LEFT($N851,1))</f>
        <v/>
      </c>
      <c r="P851">
        <f>IF($O851&gt;=20,"Critical",IF($O851&gt;=15,"High",IF($O851&gt;=10,"Medium",IF($O851&gt;=5,"Low",IF($O851&gt;0,"Very Low","")))))</f>
        <v/>
      </c>
      <c r="S851" s="5" t="n"/>
      <c r="V851" s="5" t="n"/>
      <c r="W851" s="6" t="n"/>
      <c r="X851" s="6" t="n"/>
      <c r="Z851" s="5" t="n"/>
    </row>
    <row r="852">
      <c r="D852" s="5" t="n"/>
      <c r="E852" s="5" t="n"/>
      <c r="F852" s="5" t="n"/>
      <c r="I852">
        <f>VALUE(LEFT($G852,1))*VALUE(LEFT($H852,1))</f>
        <v/>
      </c>
      <c r="J852">
        <f>IF($I852&gt;=20,"Critical",IF($I852&gt;=15,"High",IF($I852&gt;=10,"Medium",IF($I852&gt;=5,"Low",IF($I852&gt;0,"Very Low","")))))</f>
        <v/>
      </c>
      <c r="K852" s="5" t="n"/>
      <c r="O852">
        <f>VALUE(LEFT($M852,1))*VALUE(LEFT($N852,1))</f>
        <v/>
      </c>
      <c r="P852">
        <f>IF($O852&gt;=20,"Critical",IF($O852&gt;=15,"High",IF($O852&gt;=10,"Medium",IF($O852&gt;=5,"Low",IF($O852&gt;0,"Very Low","")))))</f>
        <v/>
      </c>
      <c r="S852" s="5" t="n"/>
      <c r="V852" s="5" t="n"/>
      <c r="W852" s="6" t="n"/>
      <c r="X852" s="6" t="n"/>
      <c r="Z852" s="5" t="n"/>
    </row>
    <row r="853">
      <c r="D853" s="5" t="n"/>
      <c r="E853" s="5" t="n"/>
      <c r="F853" s="5" t="n"/>
      <c r="I853">
        <f>VALUE(LEFT($G853,1))*VALUE(LEFT($H853,1))</f>
        <v/>
      </c>
      <c r="J853">
        <f>IF($I853&gt;=20,"Critical",IF($I853&gt;=15,"High",IF($I853&gt;=10,"Medium",IF($I853&gt;=5,"Low",IF($I853&gt;0,"Very Low","")))))</f>
        <v/>
      </c>
      <c r="K853" s="5" t="n"/>
      <c r="O853">
        <f>VALUE(LEFT($M853,1))*VALUE(LEFT($N853,1))</f>
        <v/>
      </c>
      <c r="P853">
        <f>IF($O853&gt;=20,"Critical",IF($O853&gt;=15,"High",IF($O853&gt;=10,"Medium",IF($O853&gt;=5,"Low",IF($O853&gt;0,"Very Low","")))))</f>
        <v/>
      </c>
      <c r="S853" s="5" t="n"/>
      <c r="V853" s="5" t="n"/>
      <c r="W853" s="6" t="n"/>
      <c r="X853" s="6" t="n"/>
      <c r="Z853" s="5" t="n"/>
    </row>
    <row r="854">
      <c r="D854" s="5" t="n"/>
      <c r="E854" s="5" t="n"/>
      <c r="F854" s="5" t="n"/>
      <c r="I854">
        <f>VALUE(LEFT($G854,1))*VALUE(LEFT($H854,1))</f>
        <v/>
      </c>
      <c r="J854">
        <f>IF($I854&gt;=20,"Critical",IF($I854&gt;=15,"High",IF($I854&gt;=10,"Medium",IF($I854&gt;=5,"Low",IF($I854&gt;0,"Very Low","")))))</f>
        <v/>
      </c>
      <c r="K854" s="5" t="n"/>
      <c r="O854">
        <f>VALUE(LEFT($M854,1))*VALUE(LEFT($N854,1))</f>
        <v/>
      </c>
      <c r="P854">
        <f>IF($O854&gt;=20,"Critical",IF($O854&gt;=15,"High",IF($O854&gt;=10,"Medium",IF($O854&gt;=5,"Low",IF($O854&gt;0,"Very Low","")))))</f>
        <v/>
      </c>
      <c r="S854" s="5" t="n"/>
      <c r="V854" s="5" t="n"/>
      <c r="W854" s="6" t="n"/>
      <c r="X854" s="6" t="n"/>
      <c r="Z854" s="5" t="n"/>
    </row>
    <row r="855">
      <c r="D855" s="5" t="n"/>
      <c r="E855" s="5" t="n"/>
      <c r="F855" s="5" t="n"/>
      <c r="I855">
        <f>VALUE(LEFT($G855,1))*VALUE(LEFT($H855,1))</f>
        <v/>
      </c>
      <c r="J855">
        <f>IF($I855&gt;=20,"Critical",IF($I855&gt;=15,"High",IF($I855&gt;=10,"Medium",IF($I855&gt;=5,"Low",IF($I855&gt;0,"Very Low","")))))</f>
        <v/>
      </c>
      <c r="K855" s="5" t="n"/>
      <c r="O855">
        <f>VALUE(LEFT($M855,1))*VALUE(LEFT($N855,1))</f>
        <v/>
      </c>
      <c r="P855">
        <f>IF($O855&gt;=20,"Critical",IF($O855&gt;=15,"High",IF($O855&gt;=10,"Medium",IF($O855&gt;=5,"Low",IF($O855&gt;0,"Very Low","")))))</f>
        <v/>
      </c>
      <c r="S855" s="5" t="n"/>
      <c r="V855" s="5" t="n"/>
      <c r="W855" s="6" t="n"/>
      <c r="X855" s="6" t="n"/>
      <c r="Z855" s="5" t="n"/>
    </row>
    <row r="856">
      <c r="D856" s="5" t="n"/>
      <c r="E856" s="5" t="n"/>
      <c r="F856" s="5" t="n"/>
      <c r="I856">
        <f>VALUE(LEFT($G856,1))*VALUE(LEFT($H856,1))</f>
        <v/>
      </c>
      <c r="J856">
        <f>IF($I856&gt;=20,"Critical",IF($I856&gt;=15,"High",IF($I856&gt;=10,"Medium",IF($I856&gt;=5,"Low",IF($I856&gt;0,"Very Low","")))))</f>
        <v/>
      </c>
      <c r="K856" s="5" t="n"/>
      <c r="O856">
        <f>VALUE(LEFT($M856,1))*VALUE(LEFT($N856,1))</f>
        <v/>
      </c>
      <c r="P856">
        <f>IF($O856&gt;=20,"Critical",IF($O856&gt;=15,"High",IF($O856&gt;=10,"Medium",IF($O856&gt;=5,"Low",IF($O856&gt;0,"Very Low","")))))</f>
        <v/>
      </c>
      <c r="S856" s="5" t="n"/>
      <c r="V856" s="5" t="n"/>
      <c r="W856" s="6" t="n"/>
      <c r="X856" s="6" t="n"/>
      <c r="Z856" s="5" t="n"/>
    </row>
    <row r="857">
      <c r="D857" s="5" t="n"/>
      <c r="E857" s="5" t="n"/>
      <c r="F857" s="5" t="n"/>
      <c r="I857">
        <f>VALUE(LEFT($G857,1))*VALUE(LEFT($H857,1))</f>
        <v/>
      </c>
      <c r="J857">
        <f>IF($I857&gt;=20,"Critical",IF($I857&gt;=15,"High",IF($I857&gt;=10,"Medium",IF($I857&gt;=5,"Low",IF($I857&gt;0,"Very Low","")))))</f>
        <v/>
      </c>
      <c r="K857" s="5" t="n"/>
      <c r="O857">
        <f>VALUE(LEFT($M857,1))*VALUE(LEFT($N857,1))</f>
        <v/>
      </c>
      <c r="P857">
        <f>IF($O857&gt;=20,"Critical",IF($O857&gt;=15,"High",IF($O857&gt;=10,"Medium",IF($O857&gt;=5,"Low",IF($O857&gt;0,"Very Low","")))))</f>
        <v/>
      </c>
      <c r="S857" s="5" t="n"/>
      <c r="V857" s="5" t="n"/>
      <c r="W857" s="6" t="n"/>
      <c r="X857" s="6" t="n"/>
      <c r="Z857" s="5" t="n"/>
    </row>
    <row r="858">
      <c r="D858" s="5" t="n"/>
      <c r="E858" s="5" t="n"/>
      <c r="F858" s="5" t="n"/>
      <c r="I858">
        <f>VALUE(LEFT($G858,1))*VALUE(LEFT($H858,1))</f>
        <v/>
      </c>
      <c r="J858">
        <f>IF($I858&gt;=20,"Critical",IF($I858&gt;=15,"High",IF($I858&gt;=10,"Medium",IF($I858&gt;=5,"Low",IF($I858&gt;0,"Very Low","")))))</f>
        <v/>
      </c>
      <c r="K858" s="5" t="n"/>
      <c r="O858">
        <f>VALUE(LEFT($M858,1))*VALUE(LEFT($N858,1))</f>
        <v/>
      </c>
      <c r="P858">
        <f>IF($O858&gt;=20,"Critical",IF($O858&gt;=15,"High",IF($O858&gt;=10,"Medium",IF($O858&gt;=5,"Low",IF($O858&gt;0,"Very Low","")))))</f>
        <v/>
      </c>
      <c r="S858" s="5" t="n"/>
      <c r="V858" s="5" t="n"/>
      <c r="W858" s="6" t="n"/>
      <c r="X858" s="6" t="n"/>
      <c r="Z858" s="5" t="n"/>
    </row>
    <row r="859">
      <c r="D859" s="5" t="n"/>
      <c r="E859" s="5" t="n"/>
      <c r="F859" s="5" t="n"/>
      <c r="I859">
        <f>VALUE(LEFT($G859,1))*VALUE(LEFT($H859,1))</f>
        <v/>
      </c>
      <c r="J859">
        <f>IF($I859&gt;=20,"Critical",IF($I859&gt;=15,"High",IF($I859&gt;=10,"Medium",IF($I859&gt;=5,"Low",IF($I859&gt;0,"Very Low","")))))</f>
        <v/>
      </c>
      <c r="K859" s="5" t="n"/>
      <c r="O859">
        <f>VALUE(LEFT($M859,1))*VALUE(LEFT($N859,1))</f>
        <v/>
      </c>
      <c r="P859">
        <f>IF($O859&gt;=20,"Critical",IF($O859&gt;=15,"High",IF($O859&gt;=10,"Medium",IF($O859&gt;=5,"Low",IF($O859&gt;0,"Very Low","")))))</f>
        <v/>
      </c>
      <c r="S859" s="5" t="n"/>
      <c r="V859" s="5" t="n"/>
      <c r="W859" s="6" t="n"/>
      <c r="X859" s="6" t="n"/>
      <c r="Z859" s="5" t="n"/>
    </row>
    <row r="860">
      <c r="D860" s="5" t="n"/>
      <c r="E860" s="5" t="n"/>
      <c r="F860" s="5" t="n"/>
      <c r="I860">
        <f>VALUE(LEFT($G860,1))*VALUE(LEFT($H860,1))</f>
        <v/>
      </c>
      <c r="J860">
        <f>IF($I860&gt;=20,"Critical",IF($I860&gt;=15,"High",IF($I860&gt;=10,"Medium",IF($I860&gt;=5,"Low",IF($I860&gt;0,"Very Low","")))))</f>
        <v/>
      </c>
      <c r="K860" s="5" t="n"/>
      <c r="O860">
        <f>VALUE(LEFT($M860,1))*VALUE(LEFT($N860,1))</f>
        <v/>
      </c>
      <c r="P860">
        <f>IF($O860&gt;=20,"Critical",IF($O860&gt;=15,"High",IF($O860&gt;=10,"Medium",IF($O860&gt;=5,"Low",IF($O860&gt;0,"Very Low","")))))</f>
        <v/>
      </c>
      <c r="S860" s="5" t="n"/>
      <c r="V860" s="5" t="n"/>
      <c r="W860" s="6" t="n"/>
      <c r="X860" s="6" t="n"/>
      <c r="Z860" s="5" t="n"/>
    </row>
    <row r="861">
      <c r="D861" s="5" t="n"/>
      <c r="E861" s="5" t="n"/>
      <c r="F861" s="5" t="n"/>
      <c r="I861">
        <f>VALUE(LEFT($G861,1))*VALUE(LEFT($H861,1))</f>
        <v/>
      </c>
      <c r="J861">
        <f>IF($I861&gt;=20,"Critical",IF($I861&gt;=15,"High",IF($I861&gt;=10,"Medium",IF($I861&gt;=5,"Low",IF($I861&gt;0,"Very Low","")))))</f>
        <v/>
      </c>
      <c r="K861" s="5" t="n"/>
      <c r="O861">
        <f>VALUE(LEFT($M861,1))*VALUE(LEFT($N861,1))</f>
        <v/>
      </c>
      <c r="P861">
        <f>IF($O861&gt;=20,"Critical",IF($O861&gt;=15,"High",IF($O861&gt;=10,"Medium",IF($O861&gt;=5,"Low",IF($O861&gt;0,"Very Low","")))))</f>
        <v/>
      </c>
      <c r="S861" s="5" t="n"/>
      <c r="V861" s="5" t="n"/>
      <c r="W861" s="6" t="n"/>
      <c r="X861" s="6" t="n"/>
      <c r="Z861" s="5" t="n"/>
    </row>
    <row r="862">
      <c r="D862" s="5" t="n"/>
      <c r="E862" s="5" t="n"/>
      <c r="F862" s="5" t="n"/>
      <c r="I862">
        <f>VALUE(LEFT($G862,1))*VALUE(LEFT($H862,1))</f>
        <v/>
      </c>
      <c r="J862">
        <f>IF($I862&gt;=20,"Critical",IF($I862&gt;=15,"High",IF($I862&gt;=10,"Medium",IF($I862&gt;=5,"Low",IF($I862&gt;0,"Very Low","")))))</f>
        <v/>
      </c>
      <c r="K862" s="5" t="n"/>
      <c r="O862">
        <f>VALUE(LEFT($M862,1))*VALUE(LEFT($N862,1))</f>
        <v/>
      </c>
      <c r="P862">
        <f>IF($O862&gt;=20,"Critical",IF($O862&gt;=15,"High",IF($O862&gt;=10,"Medium",IF($O862&gt;=5,"Low",IF($O862&gt;0,"Very Low","")))))</f>
        <v/>
      </c>
      <c r="S862" s="5" t="n"/>
      <c r="V862" s="5" t="n"/>
      <c r="W862" s="6" t="n"/>
      <c r="X862" s="6" t="n"/>
      <c r="Z862" s="5" t="n"/>
    </row>
    <row r="863">
      <c r="D863" s="5" t="n"/>
      <c r="E863" s="5" t="n"/>
      <c r="F863" s="5" t="n"/>
      <c r="I863">
        <f>VALUE(LEFT($G863,1))*VALUE(LEFT($H863,1))</f>
        <v/>
      </c>
      <c r="J863">
        <f>IF($I863&gt;=20,"Critical",IF($I863&gt;=15,"High",IF($I863&gt;=10,"Medium",IF($I863&gt;=5,"Low",IF($I863&gt;0,"Very Low","")))))</f>
        <v/>
      </c>
      <c r="K863" s="5" t="n"/>
      <c r="O863">
        <f>VALUE(LEFT($M863,1))*VALUE(LEFT($N863,1))</f>
        <v/>
      </c>
      <c r="P863">
        <f>IF($O863&gt;=20,"Critical",IF($O863&gt;=15,"High",IF($O863&gt;=10,"Medium",IF($O863&gt;=5,"Low",IF($O863&gt;0,"Very Low","")))))</f>
        <v/>
      </c>
      <c r="S863" s="5" t="n"/>
      <c r="V863" s="5" t="n"/>
      <c r="W863" s="6" t="n"/>
      <c r="X863" s="6" t="n"/>
      <c r="Z863" s="5" t="n"/>
    </row>
    <row r="864">
      <c r="D864" s="5" t="n"/>
      <c r="E864" s="5" t="n"/>
      <c r="F864" s="5" t="n"/>
      <c r="I864">
        <f>VALUE(LEFT($G864,1))*VALUE(LEFT($H864,1))</f>
        <v/>
      </c>
      <c r="J864">
        <f>IF($I864&gt;=20,"Critical",IF($I864&gt;=15,"High",IF($I864&gt;=10,"Medium",IF($I864&gt;=5,"Low",IF($I864&gt;0,"Very Low","")))))</f>
        <v/>
      </c>
      <c r="K864" s="5" t="n"/>
      <c r="O864">
        <f>VALUE(LEFT($M864,1))*VALUE(LEFT($N864,1))</f>
        <v/>
      </c>
      <c r="P864">
        <f>IF($O864&gt;=20,"Critical",IF($O864&gt;=15,"High",IF($O864&gt;=10,"Medium",IF($O864&gt;=5,"Low",IF($O864&gt;0,"Very Low","")))))</f>
        <v/>
      </c>
      <c r="S864" s="5" t="n"/>
      <c r="V864" s="5" t="n"/>
      <c r="W864" s="6" t="n"/>
      <c r="X864" s="6" t="n"/>
      <c r="Z864" s="5" t="n"/>
    </row>
    <row r="865">
      <c r="D865" s="5" t="n"/>
      <c r="E865" s="5" t="n"/>
      <c r="F865" s="5" t="n"/>
      <c r="I865">
        <f>VALUE(LEFT($G865,1))*VALUE(LEFT($H865,1))</f>
        <v/>
      </c>
      <c r="J865">
        <f>IF($I865&gt;=20,"Critical",IF($I865&gt;=15,"High",IF($I865&gt;=10,"Medium",IF($I865&gt;=5,"Low",IF($I865&gt;0,"Very Low","")))))</f>
        <v/>
      </c>
      <c r="K865" s="5" t="n"/>
      <c r="O865">
        <f>VALUE(LEFT($M865,1))*VALUE(LEFT($N865,1))</f>
        <v/>
      </c>
      <c r="P865">
        <f>IF($O865&gt;=20,"Critical",IF($O865&gt;=15,"High",IF($O865&gt;=10,"Medium",IF($O865&gt;=5,"Low",IF($O865&gt;0,"Very Low","")))))</f>
        <v/>
      </c>
      <c r="S865" s="5" t="n"/>
      <c r="V865" s="5" t="n"/>
      <c r="W865" s="6" t="n"/>
      <c r="X865" s="6" t="n"/>
      <c r="Z865" s="5" t="n"/>
    </row>
    <row r="866">
      <c r="D866" s="5" t="n"/>
      <c r="E866" s="5" t="n"/>
      <c r="F866" s="5" t="n"/>
      <c r="I866">
        <f>VALUE(LEFT($G866,1))*VALUE(LEFT($H866,1))</f>
        <v/>
      </c>
      <c r="J866">
        <f>IF($I866&gt;=20,"Critical",IF($I866&gt;=15,"High",IF($I866&gt;=10,"Medium",IF($I866&gt;=5,"Low",IF($I866&gt;0,"Very Low","")))))</f>
        <v/>
      </c>
      <c r="K866" s="5" t="n"/>
      <c r="O866">
        <f>VALUE(LEFT($M866,1))*VALUE(LEFT($N866,1))</f>
        <v/>
      </c>
      <c r="P866">
        <f>IF($O866&gt;=20,"Critical",IF($O866&gt;=15,"High",IF($O866&gt;=10,"Medium",IF($O866&gt;=5,"Low",IF($O866&gt;0,"Very Low","")))))</f>
        <v/>
      </c>
      <c r="S866" s="5" t="n"/>
      <c r="V866" s="5" t="n"/>
      <c r="W866" s="6" t="n"/>
      <c r="X866" s="6" t="n"/>
      <c r="Z866" s="5" t="n"/>
    </row>
    <row r="867">
      <c r="D867" s="5" t="n"/>
      <c r="E867" s="5" t="n"/>
      <c r="F867" s="5" t="n"/>
      <c r="I867">
        <f>VALUE(LEFT($G867,1))*VALUE(LEFT($H867,1))</f>
        <v/>
      </c>
      <c r="J867">
        <f>IF($I867&gt;=20,"Critical",IF($I867&gt;=15,"High",IF($I867&gt;=10,"Medium",IF($I867&gt;=5,"Low",IF($I867&gt;0,"Very Low","")))))</f>
        <v/>
      </c>
      <c r="K867" s="5" t="n"/>
      <c r="O867">
        <f>VALUE(LEFT($M867,1))*VALUE(LEFT($N867,1))</f>
        <v/>
      </c>
      <c r="P867">
        <f>IF($O867&gt;=20,"Critical",IF($O867&gt;=15,"High",IF($O867&gt;=10,"Medium",IF($O867&gt;=5,"Low",IF($O867&gt;0,"Very Low","")))))</f>
        <v/>
      </c>
      <c r="S867" s="5" t="n"/>
      <c r="V867" s="5" t="n"/>
      <c r="W867" s="6" t="n"/>
      <c r="X867" s="6" t="n"/>
      <c r="Z867" s="5" t="n"/>
    </row>
    <row r="868">
      <c r="D868" s="5" t="n"/>
      <c r="E868" s="5" t="n"/>
      <c r="F868" s="5" t="n"/>
      <c r="I868">
        <f>VALUE(LEFT($G868,1))*VALUE(LEFT($H868,1))</f>
        <v/>
      </c>
      <c r="J868">
        <f>IF($I868&gt;=20,"Critical",IF($I868&gt;=15,"High",IF($I868&gt;=10,"Medium",IF($I868&gt;=5,"Low",IF($I868&gt;0,"Very Low","")))))</f>
        <v/>
      </c>
      <c r="K868" s="5" t="n"/>
      <c r="O868">
        <f>VALUE(LEFT($M868,1))*VALUE(LEFT($N868,1))</f>
        <v/>
      </c>
      <c r="P868">
        <f>IF($O868&gt;=20,"Critical",IF($O868&gt;=15,"High",IF($O868&gt;=10,"Medium",IF($O868&gt;=5,"Low",IF($O868&gt;0,"Very Low","")))))</f>
        <v/>
      </c>
      <c r="S868" s="5" t="n"/>
      <c r="V868" s="5" t="n"/>
      <c r="W868" s="6" t="n"/>
      <c r="X868" s="6" t="n"/>
      <c r="Z868" s="5" t="n"/>
    </row>
    <row r="869">
      <c r="D869" s="5" t="n"/>
      <c r="E869" s="5" t="n"/>
      <c r="F869" s="5" t="n"/>
      <c r="I869">
        <f>VALUE(LEFT($G869,1))*VALUE(LEFT($H869,1))</f>
        <v/>
      </c>
      <c r="J869">
        <f>IF($I869&gt;=20,"Critical",IF($I869&gt;=15,"High",IF($I869&gt;=10,"Medium",IF($I869&gt;=5,"Low",IF($I869&gt;0,"Very Low","")))))</f>
        <v/>
      </c>
      <c r="K869" s="5" t="n"/>
      <c r="O869">
        <f>VALUE(LEFT($M869,1))*VALUE(LEFT($N869,1))</f>
        <v/>
      </c>
      <c r="P869">
        <f>IF($O869&gt;=20,"Critical",IF($O869&gt;=15,"High",IF($O869&gt;=10,"Medium",IF($O869&gt;=5,"Low",IF($O869&gt;0,"Very Low","")))))</f>
        <v/>
      </c>
      <c r="S869" s="5" t="n"/>
      <c r="V869" s="5" t="n"/>
      <c r="W869" s="6" t="n"/>
      <c r="X869" s="6" t="n"/>
      <c r="Z869" s="5" t="n"/>
    </row>
    <row r="870">
      <c r="D870" s="5" t="n"/>
      <c r="E870" s="5" t="n"/>
      <c r="F870" s="5" t="n"/>
      <c r="I870">
        <f>VALUE(LEFT($G870,1))*VALUE(LEFT($H870,1))</f>
        <v/>
      </c>
      <c r="J870">
        <f>IF($I870&gt;=20,"Critical",IF($I870&gt;=15,"High",IF($I870&gt;=10,"Medium",IF($I870&gt;=5,"Low",IF($I870&gt;0,"Very Low","")))))</f>
        <v/>
      </c>
      <c r="K870" s="5" t="n"/>
      <c r="O870">
        <f>VALUE(LEFT($M870,1))*VALUE(LEFT($N870,1))</f>
        <v/>
      </c>
      <c r="P870">
        <f>IF($O870&gt;=20,"Critical",IF($O870&gt;=15,"High",IF($O870&gt;=10,"Medium",IF($O870&gt;=5,"Low",IF($O870&gt;0,"Very Low","")))))</f>
        <v/>
      </c>
      <c r="S870" s="5" t="n"/>
      <c r="V870" s="5" t="n"/>
      <c r="W870" s="6" t="n"/>
      <c r="X870" s="6" t="n"/>
      <c r="Z870" s="5" t="n"/>
    </row>
    <row r="871">
      <c r="D871" s="5" t="n"/>
      <c r="E871" s="5" t="n"/>
      <c r="F871" s="5" t="n"/>
      <c r="I871">
        <f>VALUE(LEFT($G871,1))*VALUE(LEFT($H871,1))</f>
        <v/>
      </c>
      <c r="J871">
        <f>IF($I871&gt;=20,"Critical",IF($I871&gt;=15,"High",IF($I871&gt;=10,"Medium",IF($I871&gt;=5,"Low",IF($I871&gt;0,"Very Low","")))))</f>
        <v/>
      </c>
      <c r="K871" s="5" t="n"/>
      <c r="O871">
        <f>VALUE(LEFT($M871,1))*VALUE(LEFT($N871,1))</f>
        <v/>
      </c>
      <c r="P871">
        <f>IF($O871&gt;=20,"Critical",IF($O871&gt;=15,"High",IF($O871&gt;=10,"Medium",IF($O871&gt;=5,"Low",IF($O871&gt;0,"Very Low","")))))</f>
        <v/>
      </c>
      <c r="S871" s="5" t="n"/>
      <c r="V871" s="5" t="n"/>
      <c r="W871" s="6" t="n"/>
      <c r="X871" s="6" t="n"/>
      <c r="Z871" s="5" t="n"/>
    </row>
    <row r="872">
      <c r="D872" s="5" t="n"/>
      <c r="E872" s="5" t="n"/>
      <c r="F872" s="5" t="n"/>
      <c r="I872">
        <f>VALUE(LEFT($G872,1))*VALUE(LEFT($H872,1))</f>
        <v/>
      </c>
      <c r="J872">
        <f>IF($I872&gt;=20,"Critical",IF($I872&gt;=15,"High",IF($I872&gt;=10,"Medium",IF($I872&gt;=5,"Low",IF($I872&gt;0,"Very Low","")))))</f>
        <v/>
      </c>
      <c r="K872" s="5" t="n"/>
      <c r="O872">
        <f>VALUE(LEFT($M872,1))*VALUE(LEFT($N872,1))</f>
        <v/>
      </c>
      <c r="P872">
        <f>IF($O872&gt;=20,"Critical",IF($O872&gt;=15,"High",IF($O872&gt;=10,"Medium",IF($O872&gt;=5,"Low",IF($O872&gt;0,"Very Low","")))))</f>
        <v/>
      </c>
      <c r="S872" s="5" t="n"/>
      <c r="V872" s="5" t="n"/>
      <c r="W872" s="6" t="n"/>
      <c r="X872" s="6" t="n"/>
      <c r="Z872" s="5" t="n"/>
    </row>
    <row r="873">
      <c r="D873" s="5" t="n"/>
      <c r="E873" s="5" t="n"/>
      <c r="F873" s="5" t="n"/>
      <c r="I873">
        <f>VALUE(LEFT($G873,1))*VALUE(LEFT($H873,1))</f>
        <v/>
      </c>
      <c r="J873">
        <f>IF($I873&gt;=20,"Critical",IF($I873&gt;=15,"High",IF($I873&gt;=10,"Medium",IF($I873&gt;=5,"Low",IF($I873&gt;0,"Very Low","")))))</f>
        <v/>
      </c>
      <c r="K873" s="5" t="n"/>
      <c r="O873">
        <f>VALUE(LEFT($M873,1))*VALUE(LEFT($N873,1))</f>
        <v/>
      </c>
      <c r="P873">
        <f>IF($O873&gt;=20,"Critical",IF($O873&gt;=15,"High",IF($O873&gt;=10,"Medium",IF($O873&gt;=5,"Low",IF($O873&gt;0,"Very Low","")))))</f>
        <v/>
      </c>
      <c r="S873" s="5" t="n"/>
      <c r="V873" s="5" t="n"/>
      <c r="W873" s="6" t="n"/>
      <c r="X873" s="6" t="n"/>
      <c r="Z873" s="5" t="n"/>
    </row>
    <row r="874">
      <c r="D874" s="5" t="n"/>
      <c r="E874" s="5" t="n"/>
      <c r="F874" s="5" t="n"/>
      <c r="I874">
        <f>VALUE(LEFT($G874,1))*VALUE(LEFT($H874,1))</f>
        <v/>
      </c>
      <c r="J874">
        <f>IF($I874&gt;=20,"Critical",IF($I874&gt;=15,"High",IF($I874&gt;=10,"Medium",IF($I874&gt;=5,"Low",IF($I874&gt;0,"Very Low","")))))</f>
        <v/>
      </c>
      <c r="K874" s="5" t="n"/>
      <c r="O874">
        <f>VALUE(LEFT($M874,1))*VALUE(LEFT($N874,1))</f>
        <v/>
      </c>
      <c r="P874">
        <f>IF($O874&gt;=20,"Critical",IF($O874&gt;=15,"High",IF($O874&gt;=10,"Medium",IF($O874&gt;=5,"Low",IF($O874&gt;0,"Very Low","")))))</f>
        <v/>
      </c>
      <c r="S874" s="5" t="n"/>
      <c r="V874" s="5" t="n"/>
      <c r="W874" s="6" t="n"/>
      <c r="X874" s="6" t="n"/>
      <c r="Z874" s="5" t="n"/>
    </row>
    <row r="875">
      <c r="D875" s="5" t="n"/>
      <c r="E875" s="5" t="n"/>
      <c r="F875" s="5" t="n"/>
      <c r="I875">
        <f>VALUE(LEFT($G875,1))*VALUE(LEFT($H875,1))</f>
        <v/>
      </c>
      <c r="J875">
        <f>IF($I875&gt;=20,"Critical",IF($I875&gt;=15,"High",IF($I875&gt;=10,"Medium",IF($I875&gt;=5,"Low",IF($I875&gt;0,"Very Low","")))))</f>
        <v/>
      </c>
      <c r="K875" s="5" t="n"/>
      <c r="O875">
        <f>VALUE(LEFT($M875,1))*VALUE(LEFT($N875,1))</f>
        <v/>
      </c>
      <c r="P875">
        <f>IF($O875&gt;=20,"Critical",IF($O875&gt;=15,"High",IF($O875&gt;=10,"Medium",IF($O875&gt;=5,"Low",IF($O875&gt;0,"Very Low","")))))</f>
        <v/>
      </c>
      <c r="S875" s="5" t="n"/>
      <c r="V875" s="5" t="n"/>
      <c r="W875" s="6" t="n"/>
      <c r="X875" s="6" t="n"/>
      <c r="Z875" s="5" t="n"/>
    </row>
    <row r="876">
      <c r="D876" s="5" t="n"/>
      <c r="E876" s="5" t="n"/>
      <c r="F876" s="5" t="n"/>
      <c r="I876">
        <f>VALUE(LEFT($G876,1))*VALUE(LEFT($H876,1))</f>
        <v/>
      </c>
      <c r="J876">
        <f>IF($I876&gt;=20,"Critical",IF($I876&gt;=15,"High",IF($I876&gt;=10,"Medium",IF($I876&gt;=5,"Low",IF($I876&gt;0,"Very Low","")))))</f>
        <v/>
      </c>
      <c r="K876" s="5" t="n"/>
      <c r="O876">
        <f>VALUE(LEFT($M876,1))*VALUE(LEFT($N876,1))</f>
        <v/>
      </c>
      <c r="P876">
        <f>IF($O876&gt;=20,"Critical",IF($O876&gt;=15,"High",IF($O876&gt;=10,"Medium",IF($O876&gt;=5,"Low",IF($O876&gt;0,"Very Low","")))))</f>
        <v/>
      </c>
      <c r="S876" s="5" t="n"/>
      <c r="V876" s="5" t="n"/>
      <c r="W876" s="6" t="n"/>
      <c r="X876" s="6" t="n"/>
      <c r="Z876" s="5" t="n"/>
    </row>
    <row r="877">
      <c r="D877" s="5" t="n"/>
      <c r="E877" s="5" t="n"/>
      <c r="F877" s="5" t="n"/>
      <c r="I877">
        <f>VALUE(LEFT($G877,1))*VALUE(LEFT($H877,1))</f>
        <v/>
      </c>
      <c r="J877">
        <f>IF($I877&gt;=20,"Critical",IF($I877&gt;=15,"High",IF($I877&gt;=10,"Medium",IF($I877&gt;=5,"Low",IF($I877&gt;0,"Very Low","")))))</f>
        <v/>
      </c>
      <c r="K877" s="5" t="n"/>
      <c r="O877">
        <f>VALUE(LEFT($M877,1))*VALUE(LEFT($N877,1))</f>
        <v/>
      </c>
      <c r="P877">
        <f>IF($O877&gt;=20,"Critical",IF($O877&gt;=15,"High",IF($O877&gt;=10,"Medium",IF($O877&gt;=5,"Low",IF($O877&gt;0,"Very Low","")))))</f>
        <v/>
      </c>
      <c r="S877" s="5" t="n"/>
      <c r="V877" s="5" t="n"/>
      <c r="W877" s="6" t="n"/>
      <c r="X877" s="6" t="n"/>
      <c r="Z877" s="5" t="n"/>
    </row>
    <row r="878">
      <c r="D878" s="5" t="n"/>
      <c r="E878" s="5" t="n"/>
      <c r="F878" s="5" t="n"/>
      <c r="I878">
        <f>VALUE(LEFT($G878,1))*VALUE(LEFT($H878,1))</f>
        <v/>
      </c>
      <c r="J878">
        <f>IF($I878&gt;=20,"Critical",IF($I878&gt;=15,"High",IF($I878&gt;=10,"Medium",IF($I878&gt;=5,"Low",IF($I878&gt;0,"Very Low","")))))</f>
        <v/>
      </c>
      <c r="K878" s="5" t="n"/>
      <c r="O878">
        <f>VALUE(LEFT($M878,1))*VALUE(LEFT($N878,1))</f>
        <v/>
      </c>
      <c r="P878">
        <f>IF($O878&gt;=20,"Critical",IF($O878&gt;=15,"High",IF($O878&gt;=10,"Medium",IF($O878&gt;=5,"Low",IF($O878&gt;0,"Very Low","")))))</f>
        <v/>
      </c>
      <c r="S878" s="5" t="n"/>
      <c r="V878" s="5" t="n"/>
      <c r="W878" s="6" t="n"/>
      <c r="X878" s="6" t="n"/>
      <c r="Z878" s="5" t="n"/>
    </row>
    <row r="879">
      <c r="D879" s="5" t="n"/>
      <c r="E879" s="5" t="n"/>
      <c r="F879" s="5" t="n"/>
      <c r="I879">
        <f>VALUE(LEFT($G879,1))*VALUE(LEFT($H879,1))</f>
        <v/>
      </c>
      <c r="J879">
        <f>IF($I879&gt;=20,"Critical",IF($I879&gt;=15,"High",IF($I879&gt;=10,"Medium",IF($I879&gt;=5,"Low",IF($I879&gt;0,"Very Low","")))))</f>
        <v/>
      </c>
      <c r="K879" s="5" t="n"/>
      <c r="O879">
        <f>VALUE(LEFT($M879,1))*VALUE(LEFT($N879,1))</f>
        <v/>
      </c>
      <c r="P879">
        <f>IF($O879&gt;=20,"Critical",IF($O879&gt;=15,"High",IF($O879&gt;=10,"Medium",IF($O879&gt;=5,"Low",IF($O879&gt;0,"Very Low","")))))</f>
        <v/>
      </c>
      <c r="S879" s="5" t="n"/>
      <c r="V879" s="5" t="n"/>
      <c r="W879" s="6" t="n"/>
      <c r="X879" s="6" t="n"/>
      <c r="Z879" s="5" t="n"/>
    </row>
    <row r="880">
      <c r="D880" s="5" t="n"/>
      <c r="E880" s="5" t="n"/>
      <c r="F880" s="5" t="n"/>
      <c r="I880">
        <f>VALUE(LEFT($G880,1))*VALUE(LEFT($H880,1))</f>
        <v/>
      </c>
      <c r="J880">
        <f>IF($I880&gt;=20,"Critical",IF($I880&gt;=15,"High",IF($I880&gt;=10,"Medium",IF($I880&gt;=5,"Low",IF($I880&gt;0,"Very Low","")))))</f>
        <v/>
      </c>
      <c r="K880" s="5" t="n"/>
      <c r="O880">
        <f>VALUE(LEFT($M880,1))*VALUE(LEFT($N880,1))</f>
        <v/>
      </c>
      <c r="P880">
        <f>IF($O880&gt;=20,"Critical",IF($O880&gt;=15,"High",IF($O880&gt;=10,"Medium",IF($O880&gt;=5,"Low",IF($O880&gt;0,"Very Low","")))))</f>
        <v/>
      </c>
      <c r="S880" s="5" t="n"/>
      <c r="V880" s="5" t="n"/>
      <c r="W880" s="6" t="n"/>
      <c r="X880" s="6" t="n"/>
      <c r="Z880" s="5" t="n"/>
    </row>
    <row r="881">
      <c r="D881" s="5" t="n"/>
      <c r="E881" s="5" t="n"/>
      <c r="F881" s="5" t="n"/>
      <c r="I881">
        <f>VALUE(LEFT($G881,1))*VALUE(LEFT($H881,1))</f>
        <v/>
      </c>
      <c r="J881">
        <f>IF($I881&gt;=20,"Critical",IF($I881&gt;=15,"High",IF($I881&gt;=10,"Medium",IF($I881&gt;=5,"Low",IF($I881&gt;0,"Very Low","")))))</f>
        <v/>
      </c>
      <c r="K881" s="5" t="n"/>
      <c r="O881">
        <f>VALUE(LEFT($M881,1))*VALUE(LEFT($N881,1))</f>
        <v/>
      </c>
      <c r="P881">
        <f>IF($O881&gt;=20,"Critical",IF($O881&gt;=15,"High",IF($O881&gt;=10,"Medium",IF($O881&gt;=5,"Low",IF($O881&gt;0,"Very Low","")))))</f>
        <v/>
      </c>
      <c r="S881" s="5" t="n"/>
      <c r="V881" s="5" t="n"/>
      <c r="W881" s="6" t="n"/>
      <c r="X881" s="6" t="n"/>
      <c r="Z881" s="5" t="n"/>
    </row>
    <row r="882">
      <c r="D882" s="5" t="n"/>
      <c r="E882" s="5" t="n"/>
      <c r="F882" s="5" t="n"/>
      <c r="I882">
        <f>VALUE(LEFT($G882,1))*VALUE(LEFT($H882,1))</f>
        <v/>
      </c>
      <c r="J882">
        <f>IF($I882&gt;=20,"Critical",IF($I882&gt;=15,"High",IF($I882&gt;=10,"Medium",IF($I882&gt;=5,"Low",IF($I882&gt;0,"Very Low","")))))</f>
        <v/>
      </c>
      <c r="K882" s="5" t="n"/>
      <c r="O882">
        <f>VALUE(LEFT($M882,1))*VALUE(LEFT($N882,1))</f>
        <v/>
      </c>
      <c r="P882">
        <f>IF($O882&gt;=20,"Critical",IF($O882&gt;=15,"High",IF($O882&gt;=10,"Medium",IF($O882&gt;=5,"Low",IF($O882&gt;0,"Very Low","")))))</f>
        <v/>
      </c>
      <c r="S882" s="5" t="n"/>
      <c r="V882" s="5" t="n"/>
      <c r="W882" s="6" t="n"/>
      <c r="X882" s="6" t="n"/>
      <c r="Z882" s="5" t="n"/>
    </row>
    <row r="883">
      <c r="D883" s="5" t="n"/>
      <c r="E883" s="5" t="n"/>
      <c r="F883" s="5" t="n"/>
      <c r="I883">
        <f>VALUE(LEFT($G883,1))*VALUE(LEFT($H883,1))</f>
        <v/>
      </c>
      <c r="J883">
        <f>IF($I883&gt;=20,"Critical",IF($I883&gt;=15,"High",IF($I883&gt;=10,"Medium",IF($I883&gt;=5,"Low",IF($I883&gt;0,"Very Low","")))))</f>
        <v/>
      </c>
      <c r="K883" s="5" t="n"/>
      <c r="O883">
        <f>VALUE(LEFT($M883,1))*VALUE(LEFT($N883,1))</f>
        <v/>
      </c>
      <c r="P883">
        <f>IF($O883&gt;=20,"Critical",IF($O883&gt;=15,"High",IF($O883&gt;=10,"Medium",IF($O883&gt;=5,"Low",IF($O883&gt;0,"Very Low","")))))</f>
        <v/>
      </c>
      <c r="S883" s="5" t="n"/>
      <c r="V883" s="5" t="n"/>
      <c r="W883" s="6" t="n"/>
      <c r="X883" s="6" t="n"/>
      <c r="Z883" s="5" t="n"/>
    </row>
    <row r="884">
      <c r="D884" s="5" t="n"/>
      <c r="E884" s="5" t="n"/>
      <c r="F884" s="5" t="n"/>
      <c r="I884">
        <f>VALUE(LEFT($G884,1))*VALUE(LEFT($H884,1))</f>
        <v/>
      </c>
      <c r="J884">
        <f>IF($I884&gt;=20,"Critical",IF($I884&gt;=15,"High",IF($I884&gt;=10,"Medium",IF($I884&gt;=5,"Low",IF($I884&gt;0,"Very Low","")))))</f>
        <v/>
      </c>
      <c r="K884" s="5" t="n"/>
      <c r="O884">
        <f>VALUE(LEFT($M884,1))*VALUE(LEFT($N884,1))</f>
        <v/>
      </c>
      <c r="P884">
        <f>IF($O884&gt;=20,"Critical",IF($O884&gt;=15,"High",IF($O884&gt;=10,"Medium",IF($O884&gt;=5,"Low",IF($O884&gt;0,"Very Low","")))))</f>
        <v/>
      </c>
      <c r="S884" s="5" t="n"/>
      <c r="V884" s="5" t="n"/>
      <c r="W884" s="6" t="n"/>
      <c r="X884" s="6" t="n"/>
      <c r="Z884" s="5" t="n"/>
    </row>
    <row r="885">
      <c r="D885" s="5" t="n"/>
      <c r="E885" s="5" t="n"/>
      <c r="F885" s="5" t="n"/>
      <c r="I885">
        <f>VALUE(LEFT($G885,1))*VALUE(LEFT($H885,1))</f>
        <v/>
      </c>
      <c r="J885">
        <f>IF($I885&gt;=20,"Critical",IF($I885&gt;=15,"High",IF($I885&gt;=10,"Medium",IF($I885&gt;=5,"Low",IF($I885&gt;0,"Very Low","")))))</f>
        <v/>
      </c>
      <c r="K885" s="5" t="n"/>
      <c r="O885">
        <f>VALUE(LEFT($M885,1))*VALUE(LEFT($N885,1))</f>
        <v/>
      </c>
      <c r="P885">
        <f>IF($O885&gt;=20,"Critical",IF($O885&gt;=15,"High",IF($O885&gt;=10,"Medium",IF($O885&gt;=5,"Low",IF($O885&gt;0,"Very Low","")))))</f>
        <v/>
      </c>
      <c r="S885" s="5" t="n"/>
      <c r="V885" s="5" t="n"/>
      <c r="W885" s="6" t="n"/>
      <c r="X885" s="6" t="n"/>
      <c r="Z885" s="5" t="n"/>
    </row>
    <row r="886">
      <c r="D886" s="5" t="n"/>
      <c r="E886" s="5" t="n"/>
      <c r="F886" s="5" t="n"/>
      <c r="I886">
        <f>VALUE(LEFT($G886,1))*VALUE(LEFT($H886,1))</f>
        <v/>
      </c>
      <c r="J886">
        <f>IF($I886&gt;=20,"Critical",IF($I886&gt;=15,"High",IF($I886&gt;=10,"Medium",IF($I886&gt;=5,"Low",IF($I886&gt;0,"Very Low","")))))</f>
        <v/>
      </c>
      <c r="K886" s="5" t="n"/>
      <c r="O886">
        <f>VALUE(LEFT($M886,1))*VALUE(LEFT($N886,1))</f>
        <v/>
      </c>
      <c r="P886">
        <f>IF($O886&gt;=20,"Critical",IF($O886&gt;=15,"High",IF($O886&gt;=10,"Medium",IF($O886&gt;=5,"Low",IF($O886&gt;0,"Very Low","")))))</f>
        <v/>
      </c>
      <c r="S886" s="5" t="n"/>
      <c r="V886" s="5" t="n"/>
      <c r="W886" s="6" t="n"/>
      <c r="X886" s="6" t="n"/>
      <c r="Z886" s="5" t="n"/>
    </row>
    <row r="887">
      <c r="D887" s="5" t="n"/>
      <c r="E887" s="5" t="n"/>
      <c r="F887" s="5" t="n"/>
      <c r="I887">
        <f>VALUE(LEFT($G887,1))*VALUE(LEFT($H887,1))</f>
        <v/>
      </c>
      <c r="J887">
        <f>IF($I887&gt;=20,"Critical",IF($I887&gt;=15,"High",IF($I887&gt;=10,"Medium",IF($I887&gt;=5,"Low",IF($I887&gt;0,"Very Low","")))))</f>
        <v/>
      </c>
      <c r="K887" s="5" t="n"/>
      <c r="O887">
        <f>VALUE(LEFT($M887,1))*VALUE(LEFT($N887,1))</f>
        <v/>
      </c>
      <c r="P887">
        <f>IF($O887&gt;=20,"Critical",IF($O887&gt;=15,"High",IF($O887&gt;=10,"Medium",IF($O887&gt;=5,"Low",IF($O887&gt;0,"Very Low","")))))</f>
        <v/>
      </c>
      <c r="S887" s="5" t="n"/>
      <c r="V887" s="5" t="n"/>
      <c r="W887" s="6" t="n"/>
      <c r="X887" s="6" t="n"/>
      <c r="Z887" s="5" t="n"/>
    </row>
    <row r="888">
      <c r="D888" s="5" t="n"/>
      <c r="E888" s="5" t="n"/>
      <c r="F888" s="5" t="n"/>
      <c r="I888">
        <f>VALUE(LEFT($G888,1))*VALUE(LEFT($H888,1))</f>
        <v/>
      </c>
      <c r="J888">
        <f>IF($I888&gt;=20,"Critical",IF($I888&gt;=15,"High",IF($I888&gt;=10,"Medium",IF($I888&gt;=5,"Low",IF($I888&gt;0,"Very Low","")))))</f>
        <v/>
      </c>
      <c r="K888" s="5" t="n"/>
      <c r="O888">
        <f>VALUE(LEFT($M888,1))*VALUE(LEFT($N888,1))</f>
        <v/>
      </c>
      <c r="P888">
        <f>IF($O888&gt;=20,"Critical",IF($O888&gt;=15,"High",IF($O888&gt;=10,"Medium",IF($O888&gt;=5,"Low",IF($O888&gt;0,"Very Low","")))))</f>
        <v/>
      </c>
      <c r="S888" s="5" t="n"/>
      <c r="V888" s="5" t="n"/>
      <c r="W888" s="6" t="n"/>
      <c r="X888" s="6" t="n"/>
      <c r="Z888" s="5" t="n"/>
    </row>
    <row r="889">
      <c r="D889" s="5" t="n"/>
      <c r="E889" s="5" t="n"/>
      <c r="F889" s="5" t="n"/>
      <c r="I889">
        <f>VALUE(LEFT($G889,1))*VALUE(LEFT($H889,1))</f>
        <v/>
      </c>
      <c r="J889">
        <f>IF($I889&gt;=20,"Critical",IF($I889&gt;=15,"High",IF($I889&gt;=10,"Medium",IF($I889&gt;=5,"Low",IF($I889&gt;0,"Very Low","")))))</f>
        <v/>
      </c>
      <c r="K889" s="5" t="n"/>
      <c r="O889">
        <f>VALUE(LEFT($M889,1))*VALUE(LEFT($N889,1))</f>
        <v/>
      </c>
      <c r="P889">
        <f>IF($O889&gt;=20,"Critical",IF($O889&gt;=15,"High",IF($O889&gt;=10,"Medium",IF($O889&gt;=5,"Low",IF($O889&gt;0,"Very Low","")))))</f>
        <v/>
      </c>
      <c r="S889" s="5" t="n"/>
      <c r="V889" s="5" t="n"/>
      <c r="W889" s="6" t="n"/>
      <c r="X889" s="6" t="n"/>
      <c r="Z889" s="5" t="n"/>
    </row>
    <row r="890">
      <c r="D890" s="5" t="n"/>
      <c r="E890" s="5" t="n"/>
      <c r="F890" s="5" t="n"/>
      <c r="I890">
        <f>VALUE(LEFT($G890,1))*VALUE(LEFT($H890,1))</f>
        <v/>
      </c>
      <c r="J890">
        <f>IF($I890&gt;=20,"Critical",IF($I890&gt;=15,"High",IF($I890&gt;=10,"Medium",IF($I890&gt;=5,"Low",IF($I890&gt;0,"Very Low","")))))</f>
        <v/>
      </c>
      <c r="K890" s="5" t="n"/>
      <c r="O890">
        <f>VALUE(LEFT($M890,1))*VALUE(LEFT($N890,1))</f>
        <v/>
      </c>
      <c r="P890">
        <f>IF($O890&gt;=20,"Critical",IF($O890&gt;=15,"High",IF($O890&gt;=10,"Medium",IF($O890&gt;=5,"Low",IF($O890&gt;0,"Very Low","")))))</f>
        <v/>
      </c>
      <c r="S890" s="5" t="n"/>
      <c r="V890" s="5" t="n"/>
      <c r="W890" s="6" t="n"/>
      <c r="X890" s="6" t="n"/>
      <c r="Z890" s="5" t="n"/>
    </row>
    <row r="891">
      <c r="D891" s="5" t="n"/>
      <c r="E891" s="5" t="n"/>
      <c r="F891" s="5" t="n"/>
      <c r="I891">
        <f>VALUE(LEFT($G891,1))*VALUE(LEFT($H891,1))</f>
        <v/>
      </c>
      <c r="J891">
        <f>IF($I891&gt;=20,"Critical",IF($I891&gt;=15,"High",IF($I891&gt;=10,"Medium",IF($I891&gt;=5,"Low",IF($I891&gt;0,"Very Low","")))))</f>
        <v/>
      </c>
      <c r="K891" s="5" t="n"/>
      <c r="O891">
        <f>VALUE(LEFT($M891,1))*VALUE(LEFT($N891,1))</f>
        <v/>
      </c>
      <c r="P891">
        <f>IF($O891&gt;=20,"Critical",IF($O891&gt;=15,"High",IF($O891&gt;=10,"Medium",IF($O891&gt;=5,"Low",IF($O891&gt;0,"Very Low","")))))</f>
        <v/>
      </c>
      <c r="S891" s="5" t="n"/>
      <c r="V891" s="5" t="n"/>
      <c r="W891" s="6" t="n"/>
      <c r="X891" s="6" t="n"/>
      <c r="Z891" s="5" t="n"/>
    </row>
    <row r="892">
      <c r="D892" s="5" t="n"/>
      <c r="E892" s="5" t="n"/>
      <c r="F892" s="5" t="n"/>
      <c r="I892">
        <f>VALUE(LEFT($G892,1))*VALUE(LEFT($H892,1))</f>
        <v/>
      </c>
      <c r="J892">
        <f>IF($I892&gt;=20,"Critical",IF($I892&gt;=15,"High",IF($I892&gt;=10,"Medium",IF($I892&gt;=5,"Low",IF($I892&gt;0,"Very Low","")))))</f>
        <v/>
      </c>
      <c r="K892" s="5" t="n"/>
      <c r="O892">
        <f>VALUE(LEFT($M892,1))*VALUE(LEFT($N892,1))</f>
        <v/>
      </c>
      <c r="P892">
        <f>IF($O892&gt;=20,"Critical",IF($O892&gt;=15,"High",IF($O892&gt;=10,"Medium",IF($O892&gt;=5,"Low",IF($O892&gt;0,"Very Low","")))))</f>
        <v/>
      </c>
      <c r="S892" s="5" t="n"/>
      <c r="V892" s="5" t="n"/>
      <c r="W892" s="6" t="n"/>
      <c r="X892" s="6" t="n"/>
      <c r="Z892" s="5" t="n"/>
    </row>
    <row r="893">
      <c r="D893" s="5" t="n"/>
      <c r="E893" s="5" t="n"/>
      <c r="F893" s="5" t="n"/>
      <c r="I893">
        <f>VALUE(LEFT($G893,1))*VALUE(LEFT($H893,1))</f>
        <v/>
      </c>
      <c r="J893">
        <f>IF($I893&gt;=20,"Critical",IF($I893&gt;=15,"High",IF($I893&gt;=10,"Medium",IF($I893&gt;=5,"Low",IF($I893&gt;0,"Very Low","")))))</f>
        <v/>
      </c>
      <c r="K893" s="5" t="n"/>
      <c r="O893">
        <f>VALUE(LEFT($M893,1))*VALUE(LEFT($N893,1))</f>
        <v/>
      </c>
      <c r="P893">
        <f>IF($O893&gt;=20,"Critical",IF($O893&gt;=15,"High",IF($O893&gt;=10,"Medium",IF($O893&gt;=5,"Low",IF($O893&gt;0,"Very Low","")))))</f>
        <v/>
      </c>
      <c r="S893" s="5" t="n"/>
      <c r="V893" s="5" t="n"/>
      <c r="W893" s="6" t="n"/>
      <c r="X893" s="6" t="n"/>
      <c r="Z893" s="5" t="n"/>
    </row>
    <row r="894">
      <c r="D894" s="5" t="n"/>
      <c r="E894" s="5" t="n"/>
      <c r="F894" s="5" t="n"/>
      <c r="I894">
        <f>VALUE(LEFT($G894,1))*VALUE(LEFT($H894,1))</f>
        <v/>
      </c>
      <c r="J894">
        <f>IF($I894&gt;=20,"Critical",IF($I894&gt;=15,"High",IF($I894&gt;=10,"Medium",IF($I894&gt;=5,"Low",IF($I894&gt;0,"Very Low","")))))</f>
        <v/>
      </c>
      <c r="K894" s="5" t="n"/>
      <c r="O894">
        <f>VALUE(LEFT($M894,1))*VALUE(LEFT($N894,1))</f>
        <v/>
      </c>
      <c r="P894">
        <f>IF($O894&gt;=20,"Critical",IF($O894&gt;=15,"High",IF($O894&gt;=10,"Medium",IF($O894&gt;=5,"Low",IF($O894&gt;0,"Very Low","")))))</f>
        <v/>
      </c>
      <c r="S894" s="5" t="n"/>
      <c r="V894" s="5" t="n"/>
      <c r="W894" s="6" t="n"/>
      <c r="X894" s="6" t="n"/>
      <c r="Z894" s="5" t="n"/>
    </row>
    <row r="895">
      <c r="D895" s="5" t="n"/>
      <c r="E895" s="5" t="n"/>
      <c r="F895" s="5" t="n"/>
      <c r="I895">
        <f>VALUE(LEFT($G895,1))*VALUE(LEFT($H895,1))</f>
        <v/>
      </c>
      <c r="J895">
        <f>IF($I895&gt;=20,"Critical",IF($I895&gt;=15,"High",IF($I895&gt;=10,"Medium",IF($I895&gt;=5,"Low",IF($I895&gt;0,"Very Low","")))))</f>
        <v/>
      </c>
      <c r="K895" s="5" t="n"/>
      <c r="O895">
        <f>VALUE(LEFT($M895,1))*VALUE(LEFT($N895,1))</f>
        <v/>
      </c>
      <c r="P895">
        <f>IF($O895&gt;=20,"Critical",IF($O895&gt;=15,"High",IF($O895&gt;=10,"Medium",IF($O895&gt;=5,"Low",IF($O895&gt;0,"Very Low","")))))</f>
        <v/>
      </c>
      <c r="S895" s="5" t="n"/>
      <c r="V895" s="5" t="n"/>
      <c r="W895" s="6" t="n"/>
      <c r="X895" s="6" t="n"/>
      <c r="Z895" s="5" t="n"/>
    </row>
    <row r="896">
      <c r="D896" s="5" t="n"/>
      <c r="E896" s="5" t="n"/>
      <c r="F896" s="5" t="n"/>
      <c r="I896">
        <f>VALUE(LEFT($G896,1))*VALUE(LEFT($H896,1))</f>
        <v/>
      </c>
      <c r="J896">
        <f>IF($I896&gt;=20,"Critical",IF($I896&gt;=15,"High",IF($I896&gt;=10,"Medium",IF($I896&gt;=5,"Low",IF($I896&gt;0,"Very Low","")))))</f>
        <v/>
      </c>
      <c r="K896" s="5" t="n"/>
      <c r="O896">
        <f>VALUE(LEFT($M896,1))*VALUE(LEFT($N896,1))</f>
        <v/>
      </c>
      <c r="P896">
        <f>IF($O896&gt;=20,"Critical",IF($O896&gt;=15,"High",IF($O896&gt;=10,"Medium",IF($O896&gt;=5,"Low",IF($O896&gt;0,"Very Low","")))))</f>
        <v/>
      </c>
      <c r="S896" s="5" t="n"/>
      <c r="V896" s="5" t="n"/>
      <c r="W896" s="6" t="n"/>
      <c r="X896" s="6" t="n"/>
      <c r="Z896" s="5" t="n"/>
    </row>
    <row r="897">
      <c r="D897" s="5" t="n"/>
      <c r="E897" s="5" t="n"/>
      <c r="F897" s="5" t="n"/>
      <c r="I897">
        <f>VALUE(LEFT($G897,1))*VALUE(LEFT($H897,1))</f>
        <v/>
      </c>
      <c r="J897">
        <f>IF($I897&gt;=20,"Critical",IF($I897&gt;=15,"High",IF($I897&gt;=10,"Medium",IF($I897&gt;=5,"Low",IF($I897&gt;0,"Very Low","")))))</f>
        <v/>
      </c>
      <c r="K897" s="5" t="n"/>
      <c r="O897">
        <f>VALUE(LEFT($M897,1))*VALUE(LEFT($N897,1))</f>
        <v/>
      </c>
      <c r="P897">
        <f>IF($O897&gt;=20,"Critical",IF($O897&gt;=15,"High",IF($O897&gt;=10,"Medium",IF($O897&gt;=5,"Low",IF($O897&gt;0,"Very Low","")))))</f>
        <v/>
      </c>
      <c r="S897" s="5" t="n"/>
      <c r="V897" s="5" t="n"/>
      <c r="W897" s="6" t="n"/>
      <c r="X897" s="6" t="n"/>
      <c r="Z897" s="5" t="n"/>
    </row>
    <row r="898">
      <c r="D898" s="5" t="n"/>
      <c r="E898" s="5" t="n"/>
      <c r="F898" s="5" t="n"/>
      <c r="I898">
        <f>VALUE(LEFT($G898,1))*VALUE(LEFT($H898,1))</f>
        <v/>
      </c>
      <c r="J898">
        <f>IF($I898&gt;=20,"Critical",IF($I898&gt;=15,"High",IF($I898&gt;=10,"Medium",IF($I898&gt;=5,"Low",IF($I898&gt;0,"Very Low","")))))</f>
        <v/>
      </c>
      <c r="K898" s="5" t="n"/>
      <c r="O898">
        <f>VALUE(LEFT($M898,1))*VALUE(LEFT($N898,1))</f>
        <v/>
      </c>
      <c r="P898">
        <f>IF($O898&gt;=20,"Critical",IF($O898&gt;=15,"High",IF($O898&gt;=10,"Medium",IF($O898&gt;=5,"Low",IF($O898&gt;0,"Very Low","")))))</f>
        <v/>
      </c>
      <c r="S898" s="5" t="n"/>
      <c r="V898" s="5" t="n"/>
      <c r="W898" s="6" t="n"/>
      <c r="X898" s="6" t="n"/>
      <c r="Z898" s="5" t="n"/>
    </row>
    <row r="899">
      <c r="D899" s="5" t="n"/>
      <c r="E899" s="5" t="n"/>
      <c r="F899" s="5" t="n"/>
      <c r="I899">
        <f>VALUE(LEFT($G899,1))*VALUE(LEFT($H899,1))</f>
        <v/>
      </c>
      <c r="J899">
        <f>IF($I899&gt;=20,"Critical",IF($I899&gt;=15,"High",IF($I899&gt;=10,"Medium",IF($I899&gt;=5,"Low",IF($I899&gt;0,"Very Low","")))))</f>
        <v/>
      </c>
      <c r="K899" s="5" t="n"/>
      <c r="O899">
        <f>VALUE(LEFT($M899,1))*VALUE(LEFT($N899,1))</f>
        <v/>
      </c>
      <c r="P899">
        <f>IF($O899&gt;=20,"Critical",IF($O899&gt;=15,"High",IF($O899&gt;=10,"Medium",IF($O899&gt;=5,"Low",IF($O899&gt;0,"Very Low","")))))</f>
        <v/>
      </c>
      <c r="S899" s="5" t="n"/>
      <c r="V899" s="5" t="n"/>
      <c r="W899" s="6" t="n"/>
      <c r="X899" s="6" t="n"/>
      <c r="Z899" s="5" t="n"/>
    </row>
    <row r="900">
      <c r="D900" s="5" t="n"/>
      <c r="E900" s="5" t="n"/>
      <c r="F900" s="5" t="n"/>
      <c r="I900">
        <f>VALUE(LEFT($G900,1))*VALUE(LEFT($H900,1))</f>
        <v/>
      </c>
      <c r="J900">
        <f>IF($I900&gt;=20,"Critical",IF($I900&gt;=15,"High",IF($I900&gt;=10,"Medium",IF($I900&gt;=5,"Low",IF($I900&gt;0,"Very Low","")))))</f>
        <v/>
      </c>
      <c r="K900" s="5" t="n"/>
      <c r="O900">
        <f>VALUE(LEFT($M900,1))*VALUE(LEFT($N900,1))</f>
        <v/>
      </c>
      <c r="P900">
        <f>IF($O900&gt;=20,"Critical",IF($O900&gt;=15,"High",IF($O900&gt;=10,"Medium",IF($O900&gt;=5,"Low",IF($O900&gt;0,"Very Low","")))))</f>
        <v/>
      </c>
      <c r="S900" s="5" t="n"/>
      <c r="V900" s="5" t="n"/>
      <c r="W900" s="6" t="n"/>
      <c r="X900" s="6" t="n"/>
      <c r="Z900" s="5" t="n"/>
    </row>
    <row r="901">
      <c r="D901" s="5" t="n"/>
      <c r="E901" s="5" t="n"/>
      <c r="F901" s="5" t="n"/>
      <c r="I901">
        <f>VALUE(LEFT($G901,1))*VALUE(LEFT($H901,1))</f>
        <v/>
      </c>
      <c r="J901">
        <f>IF($I901&gt;=20,"Critical",IF($I901&gt;=15,"High",IF($I901&gt;=10,"Medium",IF($I901&gt;=5,"Low",IF($I901&gt;0,"Very Low","")))))</f>
        <v/>
      </c>
      <c r="K901" s="5" t="n"/>
      <c r="O901">
        <f>VALUE(LEFT($M901,1))*VALUE(LEFT($N901,1))</f>
        <v/>
      </c>
      <c r="P901">
        <f>IF($O901&gt;=20,"Critical",IF($O901&gt;=15,"High",IF($O901&gt;=10,"Medium",IF($O901&gt;=5,"Low",IF($O901&gt;0,"Very Low","")))))</f>
        <v/>
      </c>
      <c r="S901" s="5" t="n"/>
      <c r="V901" s="5" t="n"/>
      <c r="W901" s="6" t="n"/>
      <c r="X901" s="6" t="n"/>
      <c r="Z901" s="5" t="n"/>
    </row>
    <row r="902">
      <c r="D902" s="5" t="n"/>
      <c r="E902" s="5" t="n"/>
      <c r="F902" s="5" t="n"/>
      <c r="I902">
        <f>VALUE(LEFT($G902,1))*VALUE(LEFT($H902,1))</f>
        <v/>
      </c>
      <c r="J902">
        <f>IF($I902&gt;=20,"Critical",IF($I902&gt;=15,"High",IF($I902&gt;=10,"Medium",IF($I902&gt;=5,"Low",IF($I902&gt;0,"Very Low","")))))</f>
        <v/>
      </c>
      <c r="K902" s="5" t="n"/>
      <c r="O902">
        <f>VALUE(LEFT($M902,1))*VALUE(LEFT($N902,1))</f>
        <v/>
      </c>
      <c r="P902">
        <f>IF($O902&gt;=20,"Critical",IF($O902&gt;=15,"High",IF($O902&gt;=10,"Medium",IF($O902&gt;=5,"Low",IF($O902&gt;0,"Very Low","")))))</f>
        <v/>
      </c>
      <c r="S902" s="5" t="n"/>
      <c r="V902" s="5" t="n"/>
      <c r="W902" s="6" t="n"/>
      <c r="X902" s="6" t="n"/>
      <c r="Z902" s="5" t="n"/>
    </row>
    <row r="903">
      <c r="D903" s="5" t="n"/>
      <c r="E903" s="5" t="n"/>
      <c r="F903" s="5" t="n"/>
      <c r="I903">
        <f>VALUE(LEFT($G903,1))*VALUE(LEFT($H903,1))</f>
        <v/>
      </c>
      <c r="J903">
        <f>IF($I903&gt;=20,"Critical",IF($I903&gt;=15,"High",IF($I903&gt;=10,"Medium",IF($I903&gt;=5,"Low",IF($I903&gt;0,"Very Low","")))))</f>
        <v/>
      </c>
      <c r="K903" s="5" t="n"/>
      <c r="O903">
        <f>VALUE(LEFT($M903,1))*VALUE(LEFT($N903,1))</f>
        <v/>
      </c>
      <c r="P903">
        <f>IF($O903&gt;=20,"Critical",IF($O903&gt;=15,"High",IF($O903&gt;=10,"Medium",IF($O903&gt;=5,"Low",IF($O903&gt;0,"Very Low","")))))</f>
        <v/>
      </c>
      <c r="S903" s="5" t="n"/>
      <c r="V903" s="5" t="n"/>
      <c r="W903" s="6" t="n"/>
      <c r="X903" s="6" t="n"/>
      <c r="Z903" s="5" t="n"/>
    </row>
    <row r="904">
      <c r="D904" s="5" t="n"/>
      <c r="E904" s="5" t="n"/>
      <c r="F904" s="5" t="n"/>
      <c r="I904">
        <f>VALUE(LEFT($G904,1))*VALUE(LEFT($H904,1))</f>
        <v/>
      </c>
      <c r="J904">
        <f>IF($I904&gt;=20,"Critical",IF($I904&gt;=15,"High",IF($I904&gt;=10,"Medium",IF($I904&gt;=5,"Low",IF($I904&gt;0,"Very Low","")))))</f>
        <v/>
      </c>
      <c r="K904" s="5" t="n"/>
      <c r="O904">
        <f>VALUE(LEFT($M904,1))*VALUE(LEFT($N904,1))</f>
        <v/>
      </c>
      <c r="P904">
        <f>IF($O904&gt;=20,"Critical",IF($O904&gt;=15,"High",IF($O904&gt;=10,"Medium",IF($O904&gt;=5,"Low",IF($O904&gt;0,"Very Low","")))))</f>
        <v/>
      </c>
      <c r="S904" s="5" t="n"/>
      <c r="V904" s="5" t="n"/>
      <c r="W904" s="6" t="n"/>
      <c r="X904" s="6" t="n"/>
      <c r="Z904" s="5" t="n"/>
    </row>
    <row r="905">
      <c r="D905" s="5" t="n"/>
      <c r="E905" s="5" t="n"/>
      <c r="F905" s="5" t="n"/>
      <c r="I905">
        <f>VALUE(LEFT($G905,1))*VALUE(LEFT($H905,1))</f>
        <v/>
      </c>
      <c r="J905">
        <f>IF($I905&gt;=20,"Critical",IF($I905&gt;=15,"High",IF($I905&gt;=10,"Medium",IF($I905&gt;=5,"Low",IF($I905&gt;0,"Very Low","")))))</f>
        <v/>
      </c>
      <c r="K905" s="5" t="n"/>
      <c r="O905">
        <f>VALUE(LEFT($M905,1))*VALUE(LEFT($N905,1))</f>
        <v/>
      </c>
      <c r="P905">
        <f>IF($O905&gt;=20,"Critical",IF($O905&gt;=15,"High",IF($O905&gt;=10,"Medium",IF($O905&gt;=5,"Low",IF($O905&gt;0,"Very Low","")))))</f>
        <v/>
      </c>
      <c r="S905" s="5" t="n"/>
      <c r="V905" s="5" t="n"/>
      <c r="W905" s="6" t="n"/>
      <c r="X905" s="6" t="n"/>
      <c r="Z905" s="5" t="n"/>
    </row>
    <row r="906">
      <c r="D906" s="5" t="n"/>
      <c r="E906" s="5" t="n"/>
      <c r="F906" s="5" t="n"/>
      <c r="I906">
        <f>VALUE(LEFT($G906,1))*VALUE(LEFT($H906,1))</f>
        <v/>
      </c>
      <c r="J906">
        <f>IF($I906&gt;=20,"Critical",IF($I906&gt;=15,"High",IF($I906&gt;=10,"Medium",IF($I906&gt;=5,"Low",IF($I906&gt;0,"Very Low","")))))</f>
        <v/>
      </c>
      <c r="K906" s="5" t="n"/>
      <c r="O906">
        <f>VALUE(LEFT($M906,1))*VALUE(LEFT($N906,1))</f>
        <v/>
      </c>
      <c r="P906">
        <f>IF($O906&gt;=20,"Critical",IF($O906&gt;=15,"High",IF($O906&gt;=10,"Medium",IF($O906&gt;=5,"Low",IF($O906&gt;0,"Very Low","")))))</f>
        <v/>
      </c>
      <c r="S906" s="5" t="n"/>
      <c r="V906" s="5" t="n"/>
      <c r="W906" s="6" t="n"/>
      <c r="X906" s="6" t="n"/>
      <c r="Z906" s="5" t="n"/>
    </row>
    <row r="907">
      <c r="D907" s="5" t="n"/>
      <c r="E907" s="5" t="n"/>
      <c r="F907" s="5" t="n"/>
      <c r="I907">
        <f>VALUE(LEFT($G907,1))*VALUE(LEFT($H907,1))</f>
        <v/>
      </c>
      <c r="J907">
        <f>IF($I907&gt;=20,"Critical",IF($I907&gt;=15,"High",IF($I907&gt;=10,"Medium",IF($I907&gt;=5,"Low",IF($I907&gt;0,"Very Low","")))))</f>
        <v/>
      </c>
      <c r="K907" s="5" t="n"/>
      <c r="O907">
        <f>VALUE(LEFT($M907,1))*VALUE(LEFT($N907,1))</f>
        <v/>
      </c>
      <c r="P907">
        <f>IF($O907&gt;=20,"Critical",IF($O907&gt;=15,"High",IF($O907&gt;=10,"Medium",IF($O907&gt;=5,"Low",IF($O907&gt;0,"Very Low","")))))</f>
        <v/>
      </c>
      <c r="S907" s="5" t="n"/>
      <c r="V907" s="5" t="n"/>
      <c r="W907" s="6" t="n"/>
      <c r="X907" s="6" t="n"/>
      <c r="Z907" s="5" t="n"/>
    </row>
    <row r="908">
      <c r="D908" s="5" t="n"/>
      <c r="E908" s="5" t="n"/>
      <c r="F908" s="5" t="n"/>
      <c r="I908">
        <f>VALUE(LEFT($G908,1))*VALUE(LEFT($H908,1))</f>
        <v/>
      </c>
      <c r="J908">
        <f>IF($I908&gt;=20,"Critical",IF($I908&gt;=15,"High",IF($I908&gt;=10,"Medium",IF($I908&gt;=5,"Low",IF($I908&gt;0,"Very Low","")))))</f>
        <v/>
      </c>
      <c r="K908" s="5" t="n"/>
      <c r="O908">
        <f>VALUE(LEFT($M908,1))*VALUE(LEFT($N908,1))</f>
        <v/>
      </c>
      <c r="P908">
        <f>IF($O908&gt;=20,"Critical",IF($O908&gt;=15,"High",IF($O908&gt;=10,"Medium",IF($O908&gt;=5,"Low",IF($O908&gt;0,"Very Low","")))))</f>
        <v/>
      </c>
      <c r="S908" s="5" t="n"/>
      <c r="V908" s="5" t="n"/>
      <c r="W908" s="6" t="n"/>
      <c r="X908" s="6" t="n"/>
      <c r="Z908" s="5" t="n"/>
    </row>
    <row r="909">
      <c r="D909" s="5" t="n"/>
      <c r="E909" s="5" t="n"/>
      <c r="F909" s="5" t="n"/>
      <c r="I909">
        <f>VALUE(LEFT($G909,1))*VALUE(LEFT($H909,1))</f>
        <v/>
      </c>
      <c r="J909">
        <f>IF($I909&gt;=20,"Critical",IF($I909&gt;=15,"High",IF($I909&gt;=10,"Medium",IF($I909&gt;=5,"Low",IF($I909&gt;0,"Very Low","")))))</f>
        <v/>
      </c>
      <c r="K909" s="5" t="n"/>
      <c r="O909">
        <f>VALUE(LEFT($M909,1))*VALUE(LEFT($N909,1))</f>
        <v/>
      </c>
      <c r="P909">
        <f>IF($O909&gt;=20,"Critical",IF($O909&gt;=15,"High",IF($O909&gt;=10,"Medium",IF($O909&gt;=5,"Low",IF($O909&gt;0,"Very Low","")))))</f>
        <v/>
      </c>
      <c r="S909" s="5" t="n"/>
      <c r="V909" s="5" t="n"/>
      <c r="W909" s="6" t="n"/>
      <c r="X909" s="6" t="n"/>
      <c r="Z909" s="5" t="n"/>
    </row>
    <row r="910">
      <c r="D910" s="5" t="n"/>
      <c r="E910" s="5" t="n"/>
      <c r="F910" s="5" t="n"/>
      <c r="I910">
        <f>VALUE(LEFT($G910,1))*VALUE(LEFT($H910,1))</f>
        <v/>
      </c>
      <c r="J910">
        <f>IF($I910&gt;=20,"Critical",IF($I910&gt;=15,"High",IF($I910&gt;=10,"Medium",IF($I910&gt;=5,"Low",IF($I910&gt;0,"Very Low","")))))</f>
        <v/>
      </c>
      <c r="K910" s="5" t="n"/>
      <c r="O910">
        <f>VALUE(LEFT($M910,1))*VALUE(LEFT($N910,1))</f>
        <v/>
      </c>
      <c r="P910">
        <f>IF($O910&gt;=20,"Critical",IF($O910&gt;=15,"High",IF($O910&gt;=10,"Medium",IF($O910&gt;=5,"Low",IF($O910&gt;0,"Very Low","")))))</f>
        <v/>
      </c>
      <c r="S910" s="5" t="n"/>
      <c r="V910" s="5" t="n"/>
      <c r="W910" s="6" t="n"/>
      <c r="X910" s="6" t="n"/>
      <c r="Z910" s="5" t="n"/>
    </row>
    <row r="911">
      <c r="D911" s="5" t="n"/>
      <c r="E911" s="5" t="n"/>
      <c r="F911" s="5" t="n"/>
      <c r="I911">
        <f>VALUE(LEFT($G911,1))*VALUE(LEFT($H911,1))</f>
        <v/>
      </c>
      <c r="J911">
        <f>IF($I911&gt;=20,"Critical",IF($I911&gt;=15,"High",IF($I911&gt;=10,"Medium",IF($I911&gt;=5,"Low",IF($I911&gt;0,"Very Low","")))))</f>
        <v/>
      </c>
      <c r="K911" s="5" t="n"/>
      <c r="O911">
        <f>VALUE(LEFT($M911,1))*VALUE(LEFT($N911,1))</f>
        <v/>
      </c>
      <c r="P911">
        <f>IF($O911&gt;=20,"Critical",IF($O911&gt;=15,"High",IF($O911&gt;=10,"Medium",IF($O911&gt;=5,"Low",IF($O911&gt;0,"Very Low","")))))</f>
        <v/>
      </c>
      <c r="S911" s="5" t="n"/>
      <c r="V911" s="5" t="n"/>
      <c r="W911" s="6" t="n"/>
      <c r="X911" s="6" t="n"/>
      <c r="Z911" s="5" t="n"/>
    </row>
    <row r="912">
      <c r="D912" s="5" t="n"/>
      <c r="E912" s="5" t="n"/>
      <c r="F912" s="5" t="n"/>
      <c r="I912">
        <f>VALUE(LEFT($G912,1))*VALUE(LEFT($H912,1))</f>
        <v/>
      </c>
      <c r="J912">
        <f>IF($I912&gt;=20,"Critical",IF($I912&gt;=15,"High",IF($I912&gt;=10,"Medium",IF($I912&gt;=5,"Low",IF($I912&gt;0,"Very Low","")))))</f>
        <v/>
      </c>
      <c r="K912" s="5" t="n"/>
      <c r="O912">
        <f>VALUE(LEFT($M912,1))*VALUE(LEFT($N912,1))</f>
        <v/>
      </c>
      <c r="P912">
        <f>IF($O912&gt;=20,"Critical",IF($O912&gt;=15,"High",IF($O912&gt;=10,"Medium",IF($O912&gt;=5,"Low",IF($O912&gt;0,"Very Low","")))))</f>
        <v/>
      </c>
      <c r="S912" s="5" t="n"/>
      <c r="V912" s="5" t="n"/>
      <c r="W912" s="6" t="n"/>
      <c r="X912" s="6" t="n"/>
      <c r="Z912" s="5" t="n"/>
    </row>
    <row r="913">
      <c r="D913" s="5" t="n"/>
      <c r="E913" s="5" t="n"/>
      <c r="F913" s="5" t="n"/>
      <c r="I913">
        <f>VALUE(LEFT($G913,1))*VALUE(LEFT($H913,1))</f>
        <v/>
      </c>
      <c r="J913">
        <f>IF($I913&gt;=20,"Critical",IF($I913&gt;=15,"High",IF($I913&gt;=10,"Medium",IF($I913&gt;=5,"Low",IF($I913&gt;0,"Very Low","")))))</f>
        <v/>
      </c>
      <c r="K913" s="5" t="n"/>
      <c r="O913">
        <f>VALUE(LEFT($M913,1))*VALUE(LEFT($N913,1))</f>
        <v/>
      </c>
      <c r="P913">
        <f>IF($O913&gt;=20,"Critical",IF($O913&gt;=15,"High",IF($O913&gt;=10,"Medium",IF($O913&gt;=5,"Low",IF($O913&gt;0,"Very Low","")))))</f>
        <v/>
      </c>
      <c r="S913" s="5" t="n"/>
      <c r="V913" s="5" t="n"/>
      <c r="W913" s="6" t="n"/>
      <c r="X913" s="6" t="n"/>
      <c r="Z913" s="5" t="n"/>
    </row>
    <row r="914">
      <c r="D914" s="5" t="n"/>
      <c r="E914" s="5" t="n"/>
      <c r="F914" s="5" t="n"/>
      <c r="I914">
        <f>VALUE(LEFT($G914,1))*VALUE(LEFT($H914,1))</f>
        <v/>
      </c>
      <c r="J914">
        <f>IF($I914&gt;=20,"Critical",IF($I914&gt;=15,"High",IF($I914&gt;=10,"Medium",IF($I914&gt;=5,"Low",IF($I914&gt;0,"Very Low","")))))</f>
        <v/>
      </c>
      <c r="K914" s="5" t="n"/>
      <c r="O914">
        <f>VALUE(LEFT($M914,1))*VALUE(LEFT($N914,1))</f>
        <v/>
      </c>
      <c r="P914">
        <f>IF($O914&gt;=20,"Critical",IF($O914&gt;=15,"High",IF($O914&gt;=10,"Medium",IF($O914&gt;=5,"Low",IF($O914&gt;0,"Very Low","")))))</f>
        <v/>
      </c>
      <c r="S914" s="5" t="n"/>
      <c r="V914" s="5" t="n"/>
      <c r="W914" s="6" t="n"/>
      <c r="X914" s="6" t="n"/>
      <c r="Z914" s="5" t="n"/>
    </row>
    <row r="915">
      <c r="D915" s="5" t="n"/>
      <c r="E915" s="5" t="n"/>
      <c r="F915" s="5" t="n"/>
      <c r="I915">
        <f>VALUE(LEFT($G915,1))*VALUE(LEFT($H915,1))</f>
        <v/>
      </c>
      <c r="J915">
        <f>IF($I915&gt;=20,"Critical",IF($I915&gt;=15,"High",IF($I915&gt;=10,"Medium",IF($I915&gt;=5,"Low",IF($I915&gt;0,"Very Low","")))))</f>
        <v/>
      </c>
      <c r="K915" s="5" t="n"/>
      <c r="O915">
        <f>VALUE(LEFT($M915,1))*VALUE(LEFT($N915,1))</f>
        <v/>
      </c>
      <c r="P915">
        <f>IF($O915&gt;=20,"Critical",IF($O915&gt;=15,"High",IF($O915&gt;=10,"Medium",IF($O915&gt;=5,"Low",IF($O915&gt;0,"Very Low","")))))</f>
        <v/>
      </c>
      <c r="S915" s="5" t="n"/>
      <c r="V915" s="5" t="n"/>
      <c r="W915" s="6" t="n"/>
      <c r="X915" s="6" t="n"/>
      <c r="Z915" s="5" t="n"/>
    </row>
    <row r="916">
      <c r="D916" s="5" t="n"/>
      <c r="E916" s="5" t="n"/>
      <c r="F916" s="5" t="n"/>
      <c r="I916">
        <f>VALUE(LEFT($G916,1))*VALUE(LEFT($H916,1))</f>
        <v/>
      </c>
      <c r="J916">
        <f>IF($I916&gt;=20,"Critical",IF($I916&gt;=15,"High",IF($I916&gt;=10,"Medium",IF($I916&gt;=5,"Low",IF($I916&gt;0,"Very Low","")))))</f>
        <v/>
      </c>
      <c r="K916" s="5" t="n"/>
      <c r="O916">
        <f>VALUE(LEFT($M916,1))*VALUE(LEFT($N916,1))</f>
        <v/>
      </c>
      <c r="P916">
        <f>IF($O916&gt;=20,"Critical",IF($O916&gt;=15,"High",IF($O916&gt;=10,"Medium",IF($O916&gt;=5,"Low",IF($O916&gt;0,"Very Low","")))))</f>
        <v/>
      </c>
      <c r="S916" s="5" t="n"/>
      <c r="V916" s="5" t="n"/>
      <c r="W916" s="6" t="n"/>
      <c r="X916" s="6" t="n"/>
      <c r="Z916" s="5" t="n"/>
    </row>
    <row r="917">
      <c r="D917" s="5" t="n"/>
      <c r="E917" s="5" t="n"/>
      <c r="F917" s="5" t="n"/>
      <c r="I917">
        <f>VALUE(LEFT($G917,1))*VALUE(LEFT($H917,1))</f>
        <v/>
      </c>
      <c r="J917">
        <f>IF($I917&gt;=20,"Critical",IF($I917&gt;=15,"High",IF($I917&gt;=10,"Medium",IF($I917&gt;=5,"Low",IF($I917&gt;0,"Very Low","")))))</f>
        <v/>
      </c>
      <c r="K917" s="5" t="n"/>
      <c r="O917">
        <f>VALUE(LEFT($M917,1))*VALUE(LEFT($N917,1))</f>
        <v/>
      </c>
      <c r="P917">
        <f>IF($O917&gt;=20,"Critical",IF($O917&gt;=15,"High",IF($O917&gt;=10,"Medium",IF($O917&gt;=5,"Low",IF($O917&gt;0,"Very Low","")))))</f>
        <v/>
      </c>
      <c r="S917" s="5" t="n"/>
      <c r="V917" s="5" t="n"/>
      <c r="W917" s="6" t="n"/>
      <c r="X917" s="6" t="n"/>
      <c r="Z917" s="5" t="n"/>
    </row>
    <row r="918">
      <c r="D918" s="5" t="n"/>
      <c r="E918" s="5" t="n"/>
      <c r="F918" s="5" t="n"/>
      <c r="I918">
        <f>VALUE(LEFT($G918,1))*VALUE(LEFT($H918,1))</f>
        <v/>
      </c>
      <c r="J918">
        <f>IF($I918&gt;=20,"Critical",IF($I918&gt;=15,"High",IF($I918&gt;=10,"Medium",IF($I918&gt;=5,"Low",IF($I918&gt;0,"Very Low","")))))</f>
        <v/>
      </c>
      <c r="K918" s="5" t="n"/>
      <c r="O918">
        <f>VALUE(LEFT($M918,1))*VALUE(LEFT($N918,1))</f>
        <v/>
      </c>
      <c r="P918">
        <f>IF($O918&gt;=20,"Critical",IF($O918&gt;=15,"High",IF($O918&gt;=10,"Medium",IF($O918&gt;=5,"Low",IF($O918&gt;0,"Very Low","")))))</f>
        <v/>
      </c>
      <c r="S918" s="5" t="n"/>
      <c r="V918" s="5" t="n"/>
      <c r="W918" s="6" t="n"/>
      <c r="X918" s="6" t="n"/>
      <c r="Z918" s="5" t="n"/>
    </row>
    <row r="919">
      <c r="D919" s="5" t="n"/>
      <c r="E919" s="5" t="n"/>
      <c r="F919" s="5" t="n"/>
      <c r="I919">
        <f>VALUE(LEFT($G919,1))*VALUE(LEFT($H919,1))</f>
        <v/>
      </c>
      <c r="J919">
        <f>IF($I919&gt;=20,"Critical",IF($I919&gt;=15,"High",IF($I919&gt;=10,"Medium",IF($I919&gt;=5,"Low",IF($I919&gt;0,"Very Low","")))))</f>
        <v/>
      </c>
      <c r="K919" s="5" t="n"/>
      <c r="O919">
        <f>VALUE(LEFT($M919,1))*VALUE(LEFT($N919,1))</f>
        <v/>
      </c>
      <c r="P919">
        <f>IF($O919&gt;=20,"Critical",IF($O919&gt;=15,"High",IF($O919&gt;=10,"Medium",IF($O919&gt;=5,"Low",IF($O919&gt;0,"Very Low","")))))</f>
        <v/>
      </c>
      <c r="S919" s="5" t="n"/>
      <c r="V919" s="5" t="n"/>
      <c r="W919" s="6" t="n"/>
      <c r="X919" s="6" t="n"/>
      <c r="Z919" s="5" t="n"/>
    </row>
    <row r="920">
      <c r="D920" s="5" t="n"/>
      <c r="E920" s="5" t="n"/>
      <c r="F920" s="5" t="n"/>
      <c r="I920">
        <f>VALUE(LEFT($G920,1))*VALUE(LEFT($H920,1))</f>
        <v/>
      </c>
      <c r="J920">
        <f>IF($I920&gt;=20,"Critical",IF($I920&gt;=15,"High",IF($I920&gt;=10,"Medium",IF($I920&gt;=5,"Low",IF($I920&gt;0,"Very Low","")))))</f>
        <v/>
      </c>
      <c r="K920" s="5" t="n"/>
      <c r="O920">
        <f>VALUE(LEFT($M920,1))*VALUE(LEFT($N920,1))</f>
        <v/>
      </c>
      <c r="P920">
        <f>IF($O920&gt;=20,"Critical",IF($O920&gt;=15,"High",IF($O920&gt;=10,"Medium",IF($O920&gt;=5,"Low",IF($O920&gt;0,"Very Low","")))))</f>
        <v/>
      </c>
      <c r="S920" s="5" t="n"/>
      <c r="V920" s="5" t="n"/>
      <c r="W920" s="6" t="n"/>
      <c r="X920" s="6" t="n"/>
      <c r="Z920" s="5" t="n"/>
    </row>
    <row r="921">
      <c r="D921" s="5" t="n"/>
      <c r="E921" s="5" t="n"/>
      <c r="F921" s="5" t="n"/>
      <c r="I921">
        <f>VALUE(LEFT($G921,1))*VALUE(LEFT($H921,1))</f>
        <v/>
      </c>
      <c r="J921">
        <f>IF($I921&gt;=20,"Critical",IF($I921&gt;=15,"High",IF($I921&gt;=10,"Medium",IF($I921&gt;=5,"Low",IF($I921&gt;0,"Very Low","")))))</f>
        <v/>
      </c>
      <c r="K921" s="5" t="n"/>
      <c r="O921">
        <f>VALUE(LEFT($M921,1))*VALUE(LEFT($N921,1))</f>
        <v/>
      </c>
      <c r="P921">
        <f>IF($O921&gt;=20,"Critical",IF($O921&gt;=15,"High",IF($O921&gt;=10,"Medium",IF($O921&gt;=5,"Low",IF($O921&gt;0,"Very Low","")))))</f>
        <v/>
      </c>
      <c r="S921" s="5" t="n"/>
      <c r="V921" s="5" t="n"/>
      <c r="W921" s="6" t="n"/>
      <c r="X921" s="6" t="n"/>
      <c r="Z921" s="5" t="n"/>
    </row>
    <row r="922">
      <c r="D922" s="5" t="n"/>
      <c r="E922" s="5" t="n"/>
      <c r="F922" s="5" t="n"/>
      <c r="I922">
        <f>VALUE(LEFT($G922,1))*VALUE(LEFT($H922,1))</f>
        <v/>
      </c>
      <c r="J922">
        <f>IF($I922&gt;=20,"Critical",IF($I922&gt;=15,"High",IF($I922&gt;=10,"Medium",IF($I922&gt;=5,"Low",IF($I922&gt;0,"Very Low","")))))</f>
        <v/>
      </c>
      <c r="K922" s="5" t="n"/>
      <c r="O922">
        <f>VALUE(LEFT($M922,1))*VALUE(LEFT($N922,1))</f>
        <v/>
      </c>
      <c r="P922">
        <f>IF($O922&gt;=20,"Critical",IF($O922&gt;=15,"High",IF($O922&gt;=10,"Medium",IF($O922&gt;=5,"Low",IF($O922&gt;0,"Very Low","")))))</f>
        <v/>
      </c>
      <c r="S922" s="5" t="n"/>
      <c r="V922" s="5" t="n"/>
      <c r="W922" s="6" t="n"/>
      <c r="X922" s="6" t="n"/>
      <c r="Z922" s="5" t="n"/>
    </row>
    <row r="923">
      <c r="D923" s="5" t="n"/>
      <c r="E923" s="5" t="n"/>
      <c r="F923" s="5" t="n"/>
      <c r="I923">
        <f>VALUE(LEFT($G923,1))*VALUE(LEFT($H923,1))</f>
        <v/>
      </c>
      <c r="J923">
        <f>IF($I923&gt;=20,"Critical",IF($I923&gt;=15,"High",IF($I923&gt;=10,"Medium",IF($I923&gt;=5,"Low",IF($I923&gt;0,"Very Low","")))))</f>
        <v/>
      </c>
      <c r="K923" s="5" t="n"/>
      <c r="O923">
        <f>VALUE(LEFT($M923,1))*VALUE(LEFT($N923,1))</f>
        <v/>
      </c>
      <c r="P923">
        <f>IF($O923&gt;=20,"Critical",IF($O923&gt;=15,"High",IF($O923&gt;=10,"Medium",IF($O923&gt;=5,"Low",IF($O923&gt;0,"Very Low","")))))</f>
        <v/>
      </c>
      <c r="S923" s="5" t="n"/>
      <c r="V923" s="5" t="n"/>
      <c r="W923" s="6" t="n"/>
      <c r="X923" s="6" t="n"/>
      <c r="Z923" s="5" t="n"/>
    </row>
    <row r="924">
      <c r="D924" s="5" t="n"/>
      <c r="E924" s="5" t="n"/>
      <c r="F924" s="5" t="n"/>
      <c r="I924">
        <f>VALUE(LEFT($G924,1))*VALUE(LEFT($H924,1))</f>
        <v/>
      </c>
      <c r="J924">
        <f>IF($I924&gt;=20,"Critical",IF($I924&gt;=15,"High",IF($I924&gt;=10,"Medium",IF($I924&gt;=5,"Low",IF($I924&gt;0,"Very Low","")))))</f>
        <v/>
      </c>
      <c r="K924" s="5" t="n"/>
      <c r="O924">
        <f>VALUE(LEFT($M924,1))*VALUE(LEFT($N924,1))</f>
        <v/>
      </c>
      <c r="P924">
        <f>IF($O924&gt;=20,"Critical",IF($O924&gt;=15,"High",IF($O924&gt;=10,"Medium",IF($O924&gt;=5,"Low",IF($O924&gt;0,"Very Low","")))))</f>
        <v/>
      </c>
      <c r="S924" s="5" t="n"/>
      <c r="V924" s="5" t="n"/>
      <c r="W924" s="6" t="n"/>
      <c r="X924" s="6" t="n"/>
      <c r="Z924" s="5" t="n"/>
    </row>
    <row r="925">
      <c r="D925" s="5" t="n"/>
      <c r="E925" s="5" t="n"/>
      <c r="F925" s="5" t="n"/>
      <c r="I925">
        <f>VALUE(LEFT($G925,1))*VALUE(LEFT($H925,1))</f>
        <v/>
      </c>
      <c r="J925">
        <f>IF($I925&gt;=20,"Critical",IF($I925&gt;=15,"High",IF($I925&gt;=10,"Medium",IF($I925&gt;=5,"Low",IF($I925&gt;0,"Very Low","")))))</f>
        <v/>
      </c>
      <c r="K925" s="5" t="n"/>
      <c r="O925">
        <f>VALUE(LEFT($M925,1))*VALUE(LEFT($N925,1))</f>
        <v/>
      </c>
      <c r="P925">
        <f>IF($O925&gt;=20,"Critical",IF($O925&gt;=15,"High",IF($O925&gt;=10,"Medium",IF($O925&gt;=5,"Low",IF($O925&gt;0,"Very Low","")))))</f>
        <v/>
      </c>
      <c r="S925" s="5" t="n"/>
      <c r="V925" s="5" t="n"/>
      <c r="W925" s="6" t="n"/>
      <c r="X925" s="6" t="n"/>
      <c r="Z925" s="5" t="n"/>
    </row>
    <row r="926">
      <c r="D926" s="5" t="n"/>
      <c r="E926" s="5" t="n"/>
      <c r="F926" s="5" t="n"/>
      <c r="I926">
        <f>VALUE(LEFT($G926,1))*VALUE(LEFT($H926,1))</f>
        <v/>
      </c>
      <c r="J926">
        <f>IF($I926&gt;=20,"Critical",IF($I926&gt;=15,"High",IF($I926&gt;=10,"Medium",IF($I926&gt;=5,"Low",IF($I926&gt;0,"Very Low","")))))</f>
        <v/>
      </c>
      <c r="K926" s="5" t="n"/>
      <c r="O926">
        <f>VALUE(LEFT($M926,1))*VALUE(LEFT($N926,1))</f>
        <v/>
      </c>
      <c r="P926">
        <f>IF($O926&gt;=20,"Critical",IF($O926&gt;=15,"High",IF($O926&gt;=10,"Medium",IF($O926&gt;=5,"Low",IF($O926&gt;0,"Very Low","")))))</f>
        <v/>
      </c>
      <c r="S926" s="5" t="n"/>
      <c r="V926" s="5" t="n"/>
      <c r="W926" s="6" t="n"/>
      <c r="X926" s="6" t="n"/>
      <c r="Z926" s="5" t="n"/>
    </row>
    <row r="927">
      <c r="D927" s="5" t="n"/>
      <c r="E927" s="5" t="n"/>
      <c r="F927" s="5" t="n"/>
      <c r="I927">
        <f>VALUE(LEFT($G927,1))*VALUE(LEFT($H927,1))</f>
        <v/>
      </c>
      <c r="J927">
        <f>IF($I927&gt;=20,"Critical",IF($I927&gt;=15,"High",IF($I927&gt;=10,"Medium",IF($I927&gt;=5,"Low",IF($I927&gt;0,"Very Low","")))))</f>
        <v/>
      </c>
      <c r="K927" s="5" t="n"/>
      <c r="O927">
        <f>VALUE(LEFT($M927,1))*VALUE(LEFT($N927,1))</f>
        <v/>
      </c>
      <c r="P927">
        <f>IF($O927&gt;=20,"Critical",IF($O927&gt;=15,"High",IF($O927&gt;=10,"Medium",IF($O927&gt;=5,"Low",IF($O927&gt;0,"Very Low","")))))</f>
        <v/>
      </c>
      <c r="S927" s="5" t="n"/>
      <c r="V927" s="5" t="n"/>
      <c r="W927" s="6" t="n"/>
      <c r="X927" s="6" t="n"/>
      <c r="Z927" s="5" t="n"/>
    </row>
    <row r="928">
      <c r="D928" s="5" t="n"/>
      <c r="E928" s="5" t="n"/>
      <c r="F928" s="5" t="n"/>
      <c r="I928">
        <f>VALUE(LEFT($G928,1))*VALUE(LEFT($H928,1))</f>
        <v/>
      </c>
      <c r="J928">
        <f>IF($I928&gt;=20,"Critical",IF($I928&gt;=15,"High",IF($I928&gt;=10,"Medium",IF($I928&gt;=5,"Low",IF($I928&gt;0,"Very Low","")))))</f>
        <v/>
      </c>
      <c r="K928" s="5" t="n"/>
      <c r="O928">
        <f>VALUE(LEFT($M928,1))*VALUE(LEFT($N928,1))</f>
        <v/>
      </c>
      <c r="P928">
        <f>IF($O928&gt;=20,"Critical",IF($O928&gt;=15,"High",IF($O928&gt;=10,"Medium",IF($O928&gt;=5,"Low",IF($O928&gt;0,"Very Low","")))))</f>
        <v/>
      </c>
      <c r="S928" s="5" t="n"/>
      <c r="V928" s="5" t="n"/>
      <c r="W928" s="6" t="n"/>
      <c r="X928" s="6" t="n"/>
      <c r="Z928" s="5" t="n"/>
    </row>
    <row r="929">
      <c r="D929" s="5" t="n"/>
      <c r="E929" s="5" t="n"/>
      <c r="F929" s="5" t="n"/>
      <c r="I929">
        <f>VALUE(LEFT($G929,1))*VALUE(LEFT($H929,1))</f>
        <v/>
      </c>
      <c r="J929">
        <f>IF($I929&gt;=20,"Critical",IF($I929&gt;=15,"High",IF($I929&gt;=10,"Medium",IF($I929&gt;=5,"Low",IF($I929&gt;0,"Very Low","")))))</f>
        <v/>
      </c>
      <c r="K929" s="5" t="n"/>
      <c r="O929">
        <f>VALUE(LEFT($M929,1))*VALUE(LEFT($N929,1))</f>
        <v/>
      </c>
      <c r="P929">
        <f>IF($O929&gt;=20,"Critical",IF($O929&gt;=15,"High",IF($O929&gt;=10,"Medium",IF($O929&gt;=5,"Low",IF($O929&gt;0,"Very Low","")))))</f>
        <v/>
      </c>
      <c r="S929" s="5" t="n"/>
      <c r="V929" s="5" t="n"/>
      <c r="W929" s="6" t="n"/>
      <c r="X929" s="6" t="n"/>
      <c r="Z929" s="5" t="n"/>
    </row>
    <row r="930">
      <c r="D930" s="5" t="n"/>
      <c r="E930" s="5" t="n"/>
      <c r="F930" s="5" t="n"/>
      <c r="I930">
        <f>VALUE(LEFT($G930,1))*VALUE(LEFT($H930,1))</f>
        <v/>
      </c>
      <c r="J930">
        <f>IF($I930&gt;=20,"Critical",IF($I930&gt;=15,"High",IF($I930&gt;=10,"Medium",IF($I930&gt;=5,"Low",IF($I930&gt;0,"Very Low","")))))</f>
        <v/>
      </c>
      <c r="K930" s="5" t="n"/>
      <c r="O930">
        <f>VALUE(LEFT($M930,1))*VALUE(LEFT($N930,1))</f>
        <v/>
      </c>
      <c r="P930">
        <f>IF($O930&gt;=20,"Critical",IF($O930&gt;=15,"High",IF($O930&gt;=10,"Medium",IF($O930&gt;=5,"Low",IF($O930&gt;0,"Very Low","")))))</f>
        <v/>
      </c>
      <c r="S930" s="5" t="n"/>
      <c r="V930" s="5" t="n"/>
      <c r="W930" s="6" t="n"/>
      <c r="X930" s="6" t="n"/>
      <c r="Z930" s="5" t="n"/>
    </row>
    <row r="931">
      <c r="D931" s="5" t="n"/>
      <c r="E931" s="5" t="n"/>
      <c r="F931" s="5" t="n"/>
      <c r="I931">
        <f>VALUE(LEFT($G931,1))*VALUE(LEFT($H931,1))</f>
        <v/>
      </c>
      <c r="J931">
        <f>IF($I931&gt;=20,"Critical",IF($I931&gt;=15,"High",IF($I931&gt;=10,"Medium",IF($I931&gt;=5,"Low",IF($I931&gt;0,"Very Low","")))))</f>
        <v/>
      </c>
      <c r="K931" s="5" t="n"/>
      <c r="O931">
        <f>VALUE(LEFT($M931,1))*VALUE(LEFT($N931,1))</f>
        <v/>
      </c>
      <c r="P931">
        <f>IF($O931&gt;=20,"Critical",IF($O931&gt;=15,"High",IF($O931&gt;=10,"Medium",IF($O931&gt;=5,"Low",IF($O931&gt;0,"Very Low","")))))</f>
        <v/>
      </c>
      <c r="S931" s="5" t="n"/>
      <c r="V931" s="5" t="n"/>
      <c r="W931" s="6" t="n"/>
      <c r="X931" s="6" t="n"/>
      <c r="Z931" s="5" t="n"/>
    </row>
    <row r="932">
      <c r="D932" s="5" t="n"/>
      <c r="E932" s="5" t="n"/>
      <c r="F932" s="5" t="n"/>
      <c r="I932">
        <f>VALUE(LEFT($G932,1))*VALUE(LEFT($H932,1))</f>
        <v/>
      </c>
      <c r="J932">
        <f>IF($I932&gt;=20,"Critical",IF($I932&gt;=15,"High",IF($I932&gt;=10,"Medium",IF($I932&gt;=5,"Low",IF($I932&gt;0,"Very Low","")))))</f>
        <v/>
      </c>
      <c r="K932" s="5" t="n"/>
      <c r="O932">
        <f>VALUE(LEFT($M932,1))*VALUE(LEFT($N932,1))</f>
        <v/>
      </c>
      <c r="P932">
        <f>IF($O932&gt;=20,"Critical",IF($O932&gt;=15,"High",IF($O932&gt;=10,"Medium",IF($O932&gt;=5,"Low",IF($O932&gt;0,"Very Low","")))))</f>
        <v/>
      </c>
      <c r="S932" s="5" t="n"/>
      <c r="V932" s="5" t="n"/>
      <c r="W932" s="6" t="n"/>
      <c r="X932" s="6" t="n"/>
      <c r="Z932" s="5" t="n"/>
    </row>
    <row r="933">
      <c r="D933" s="5" t="n"/>
      <c r="E933" s="5" t="n"/>
      <c r="F933" s="5" t="n"/>
      <c r="I933">
        <f>VALUE(LEFT($G933,1))*VALUE(LEFT($H933,1))</f>
        <v/>
      </c>
      <c r="J933">
        <f>IF($I933&gt;=20,"Critical",IF($I933&gt;=15,"High",IF($I933&gt;=10,"Medium",IF($I933&gt;=5,"Low",IF($I933&gt;0,"Very Low","")))))</f>
        <v/>
      </c>
      <c r="K933" s="5" t="n"/>
      <c r="O933">
        <f>VALUE(LEFT($M933,1))*VALUE(LEFT($N933,1))</f>
        <v/>
      </c>
      <c r="P933">
        <f>IF($O933&gt;=20,"Critical",IF($O933&gt;=15,"High",IF($O933&gt;=10,"Medium",IF($O933&gt;=5,"Low",IF($O933&gt;0,"Very Low","")))))</f>
        <v/>
      </c>
      <c r="S933" s="5" t="n"/>
      <c r="V933" s="5" t="n"/>
      <c r="W933" s="6" t="n"/>
      <c r="X933" s="6" t="n"/>
      <c r="Z933" s="5" t="n"/>
    </row>
    <row r="934">
      <c r="D934" s="5" t="n"/>
      <c r="E934" s="5" t="n"/>
      <c r="F934" s="5" t="n"/>
      <c r="I934">
        <f>VALUE(LEFT($G934,1))*VALUE(LEFT($H934,1))</f>
        <v/>
      </c>
      <c r="J934">
        <f>IF($I934&gt;=20,"Critical",IF($I934&gt;=15,"High",IF($I934&gt;=10,"Medium",IF($I934&gt;=5,"Low",IF($I934&gt;0,"Very Low","")))))</f>
        <v/>
      </c>
      <c r="K934" s="5" t="n"/>
      <c r="O934">
        <f>VALUE(LEFT($M934,1))*VALUE(LEFT($N934,1))</f>
        <v/>
      </c>
      <c r="P934">
        <f>IF($O934&gt;=20,"Critical",IF($O934&gt;=15,"High",IF($O934&gt;=10,"Medium",IF($O934&gt;=5,"Low",IF($O934&gt;0,"Very Low","")))))</f>
        <v/>
      </c>
      <c r="S934" s="5" t="n"/>
      <c r="V934" s="5" t="n"/>
      <c r="W934" s="6" t="n"/>
      <c r="X934" s="6" t="n"/>
      <c r="Z934" s="5" t="n"/>
    </row>
    <row r="935">
      <c r="D935" s="5" t="n"/>
      <c r="E935" s="5" t="n"/>
      <c r="F935" s="5" t="n"/>
      <c r="I935">
        <f>VALUE(LEFT($G935,1))*VALUE(LEFT($H935,1))</f>
        <v/>
      </c>
      <c r="J935">
        <f>IF($I935&gt;=20,"Critical",IF($I935&gt;=15,"High",IF($I935&gt;=10,"Medium",IF($I935&gt;=5,"Low",IF($I935&gt;0,"Very Low","")))))</f>
        <v/>
      </c>
      <c r="K935" s="5" t="n"/>
      <c r="O935">
        <f>VALUE(LEFT($M935,1))*VALUE(LEFT($N935,1))</f>
        <v/>
      </c>
      <c r="P935">
        <f>IF($O935&gt;=20,"Critical",IF($O935&gt;=15,"High",IF($O935&gt;=10,"Medium",IF($O935&gt;=5,"Low",IF($O935&gt;0,"Very Low","")))))</f>
        <v/>
      </c>
      <c r="S935" s="5" t="n"/>
      <c r="V935" s="5" t="n"/>
      <c r="W935" s="6" t="n"/>
      <c r="X935" s="6" t="n"/>
      <c r="Z935" s="5" t="n"/>
    </row>
    <row r="936">
      <c r="D936" s="5" t="n"/>
      <c r="E936" s="5" t="n"/>
      <c r="F936" s="5" t="n"/>
      <c r="I936">
        <f>VALUE(LEFT($G936,1))*VALUE(LEFT($H936,1))</f>
        <v/>
      </c>
      <c r="J936">
        <f>IF($I936&gt;=20,"Critical",IF($I936&gt;=15,"High",IF($I936&gt;=10,"Medium",IF($I936&gt;=5,"Low",IF($I936&gt;0,"Very Low","")))))</f>
        <v/>
      </c>
      <c r="K936" s="5" t="n"/>
      <c r="O936">
        <f>VALUE(LEFT($M936,1))*VALUE(LEFT($N936,1))</f>
        <v/>
      </c>
      <c r="P936">
        <f>IF($O936&gt;=20,"Critical",IF($O936&gt;=15,"High",IF($O936&gt;=10,"Medium",IF($O936&gt;=5,"Low",IF($O936&gt;0,"Very Low","")))))</f>
        <v/>
      </c>
      <c r="S936" s="5" t="n"/>
      <c r="V936" s="5" t="n"/>
      <c r="W936" s="6" t="n"/>
      <c r="X936" s="6" t="n"/>
      <c r="Z936" s="5" t="n"/>
    </row>
    <row r="937">
      <c r="D937" s="5" t="n"/>
      <c r="E937" s="5" t="n"/>
      <c r="F937" s="5" t="n"/>
      <c r="I937">
        <f>VALUE(LEFT($G937,1))*VALUE(LEFT($H937,1))</f>
        <v/>
      </c>
      <c r="J937">
        <f>IF($I937&gt;=20,"Critical",IF($I937&gt;=15,"High",IF($I937&gt;=10,"Medium",IF($I937&gt;=5,"Low",IF($I937&gt;0,"Very Low","")))))</f>
        <v/>
      </c>
      <c r="K937" s="5" t="n"/>
      <c r="O937">
        <f>VALUE(LEFT($M937,1))*VALUE(LEFT($N937,1))</f>
        <v/>
      </c>
      <c r="P937">
        <f>IF($O937&gt;=20,"Critical",IF($O937&gt;=15,"High",IF($O937&gt;=10,"Medium",IF($O937&gt;=5,"Low",IF($O937&gt;0,"Very Low","")))))</f>
        <v/>
      </c>
      <c r="S937" s="5" t="n"/>
      <c r="V937" s="5" t="n"/>
      <c r="W937" s="6" t="n"/>
      <c r="X937" s="6" t="n"/>
      <c r="Z937" s="5" t="n"/>
    </row>
    <row r="938">
      <c r="D938" s="5" t="n"/>
      <c r="E938" s="5" t="n"/>
      <c r="F938" s="5" t="n"/>
      <c r="I938">
        <f>VALUE(LEFT($G938,1))*VALUE(LEFT($H938,1))</f>
        <v/>
      </c>
      <c r="J938">
        <f>IF($I938&gt;=20,"Critical",IF($I938&gt;=15,"High",IF($I938&gt;=10,"Medium",IF($I938&gt;=5,"Low",IF($I938&gt;0,"Very Low","")))))</f>
        <v/>
      </c>
      <c r="K938" s="5" t="n"/>
      <c r="O938">
        <f>VALUE(LEFT($M938,1))*VALUE(LEFT($N938,1))</f>
        <v/>
      </c>
      <c r="P938">
        <f>IF($O938&gt;=20,"Critical",IF($O938&gt;=15,"High",IF($O938&gt;=10,"Medium",IF($O938&gt;=5,"Low",IF($O938&gt;0,"Very Low","")))))</f>
        <v/>
      </c>
      <c r="S938" s="5" t="n"/>
      <c r="V938" s="5" t="n"/>
      <c r="W938" s="6" t="n"/>
      <c r="X938" s="6" t="n"/>
      <c r="Z938" s="5" t="n"/>
    </row>
    <row r="939">
      <c r="D939" s="5" t="n"/>
      <c r="E939" s="5" t="n"/>
      <c r="F939" s="5" t="n"/>
      <c r="I939">
        <f>VALUE(LEFT($G939,1))*VALUE(LEFT($H939,1))</f>
        <v/>
      </c>
      <c r="J939">
        <f>IF($I939&gt;=20,"Critical",IF($I939&gt;=15,"High",IF($I939&gt;=10,"Medium",IF($I939&gt;=5,"Low",IF($I939&gt;0,"Very Low","")))))</f>
        <v/>
      </c>
      <c r="K939" s="5" t="n"/>
      <c r="O939">
        <f>VALUE(LEFT($M939,1))*VALUE(LEFT($N939,1))</f>
        <v/>
      </c>
      <c r="P939">
        <f>IF($O939&gt;=20,"Critical",IF($O939&gt;=15,"High",IF($O939&gt;=10,"Medium",IF($O939&gt;=5,"Low",IF($O939&gt;0,"Very Low","")))))</f>
        <v/>
      </c>
      <c r="S939" s="5" t="n"/>
      <c r="V939" s="5" t="n"/>
      <c r="W939" s="6" t="n"/>
      <c r="X939" s="6" t="n"/>
      <c r="Z939" s="5" t="n"/>
    </row>
    <row r="940">
      <c r="D940" s="5" t="n"/>
      <c r="E940" s="5" t="n"/>
      <c r="F940" s="5" t="n"/>
      <c r="I940">
        <f>VALUE(LEFT($G940,1))*VALUE(LEFT($H940,1))</f>
        <v/>
      </c>
      <c r="J940">
        <f>IF($I940&gt;=20,"Critical",IF($I940&gt;=15,"High",IF($I940&gt;=10,"Medium",IF($I940&gt;=5,"Low",IF($I940&gt;0,"Very Low","")))))</f>
        <v/>
      </c>
      <c r="K940" s="5" t="n"/>
      <c r="O940">
        <f>VALUE(LEFT($M940,1))*VALUE(LEFT($N940,1))</f>
        <v/>
      </c>
      <c r="P940">
        <f>IF($O940&gt;=20,"Critical",IF($O940&gt;=15,"High",IF($O940&gt;=10,"Medium",IF($O940&gt;=5,"Low",IF($O940&gt;0,"Very Low","")))))</f>
        <v/>
      </c>
      <c r="S940" s="5" t="n"/>
      <c r="V940" s="5" t="n"/>
      <c r="W940" s="6" t="n"/>
      <c r="X940" s="6" t="n"/>
      <c r="Z940" s="5" t="n"/>
    </row>
    <row r="941">
      <c r="D941" s="5" t="n"/>
      <c r="E941" s="5" t="n"/>
      <c r="F941" s="5" t="n"/>
      <c r="I941">
        <f>VALUE(LEFT($G941,1))*VALUE(LEFT($H941,1))</f>
        <v/>
      </c>
      <c r="J941">
        <f>IF($I941&gt;=20,"Critical",IF($I941&gt;=15,"High",IF($I941&gt;=10,"Medium",IF($I941&gt;=5,"Low",IF($I941&gt;0,"Very Low","")))))</f>
        <v/>
      </c>
      <c r="K941" s="5" t="n"/>
      <c r="O941">
        <f>VALUE(LEFT($M941,1))*VALUE(LEFT($N941,1))</f>
        <v/>
      </c>
      <c r="P941">
        <f>IF($O941&gt;=20,"Critical",IF($O941&gt;=15,"High",IF($O941&gt;=10,"Medium",IF($O941&gt;=5,"Low",IF($O941&gt;0,"Very Low","")))))</f>
        <v/>
      </c>
      <c r="S941" s="5" t="n"/>
      <c r="V941" s="5" t="n"/>
      <c r="W941" s="6" t="n"/>
      <c r="X941" s="6" t="n"/>
      <c r="Z941" s="5" t="n"/>
    </row>
    <row r="942">
      <c r="D942" s="5" t="n"/>
      <c r="E942" s="5" t="n"/>
      <c r="F942" s="5" t="n"/>
      <c r="I942">
        <f>VALUE(LEFT($G942,1))*VALUE(LEFT($H942,1))</f>
        <v/>
      </c>
      <c r="J942">
        <f>IF($I942&gt;=20,"Critical",IF($I942&gt;=15,"High",IF($I942&gt;=10,"Medium",IF($I942&gt;=5,"Low",IF($I942&gt;0,"Very Low","")))))</f>
        <v/>
      </c>
      <c r="K942" s="5" t="n"/>
      <c r="O942">
        <f>VALUE(LEFT($M942,1))*VALUE(LEFT($N942,1))</f>
        <v/>
      </c>
      <c r="P942">
        <f>IF($O942&gt;=20,"Critical",IF($O942&gt;=15,"High",IF($O942&gt;=10,"Medium",IF($O942&gt;=5,"Low",IF($O942&gt;0,"Very Low","")))))</f>
        <v/>
      </c>
      <c r="S942" s="5" t="n"/>
      <c r="V942" s="5" t="n"/>
      <c r="W942" s="6" t="n"/>
      <c r="X942" s="6" t="n"/>
      <c r="Z942" s="5" t="n"/>
    </row>
    <row r="943">
      <c r="D943" s="5" t="n"/>
      <c r="E943" s="5" t="n"/>
      <c r="F943" s="5" t="n"/>
      <c r="I943">
        <f>VALUE(LEFT($G943,1))*VALUE(LEFT($H943,1))</f>
        <v/>
      </c>
      <c r="J943">
        <f>IF($I943&gt;=20,"Critical",IF($I943&gt;=15,"High",IF($I943&gt;=10,"Medium",IF($I943&gt;=5,"Low",IF($I943&gt;0,"Very Low","")))))</f>
        <v/>
      </c>
      <c r="K943" s="5" t="n"/>
      <c r="O943">
        <f>VALUE(LEFT($M943,1))*VALUE(LEFT($N943,1))</f>
        <v/>
      </c>
      <c r="P943">
        <f>IF($O943&gt;=20,"Critical",IF($O943&gt;=15,"High",IF($O943&gt;=10,"Medium",IF($O943&gt;=5,"Low",IF($O943&gt;0,"Very Low","")))))</f>
        <v/>
      </c>
      <c r="S943" s="5" t="n"/>
      <c r="V943" s="5" t="n"/>
      <c r="W943" s="6" t="n"/>
      <c r="X943" s="6" t="n"/>
      <c r="Z943" s="5" t="n"/>
    </row>
    <row r="944">
      <c r="D944" s="5" t="n"/>
      <c r="E944" s="5" t="n"/>
      <c r="F944" s="5" t="n"/>
      <c r="I944">
        <f>VALUE(LEFT($G944,1))*VALUE(LEFT($H944,1))</f>
        <v/>
      </c>
      <c r="J944">
        <f>IF($I944&gt;=20,"Critical",IF($I944&gt;=15,"High",IF($I944&gt;=10,"Medium",IF($I944&gt;=5,"Low",IF($I944&gt;0,"Very Low","")))))</f>
        <v/>
      </c>
      <c r="K944" s="5" t="n"/>
      <c r="O944">
        <f>VALUE(LEFT($M944,1))*VALUE(LEFT($N944,1))</f>
        <v/>
      </c>
      <c r="P944">
        <f>IF($O944&gt;=20,"Critical",IF($O944&gt;=15,"High",IF($O944&gt;=10,"Medium",IF($O944&gt;=5,"Low",IF($O944&gt;0,"Very Low","")))))</f>
        <v/>
      </c>
      <c r="S944" s="5" t="n"/>
      <c r="V944" s="5" t="n"/>
      <c r="W944" s="6" t="n"/>
      <c r="X944" s="6" t="n"/>
      <c r="Z944" s="5" t="n"/>
    </row>
    <row r="945">
      <c r="D945" s="5" t="n"/>
      <c r="E945" s="5" t="n"/>
      <c r="F945" s="5" t="n"/>
      <c r="I945">
        <f>VALUE(LEFT($G945,1))*VALUE(LEFT($H945,1))</f>
        <v/>
      </c>
      <c r="J945">
        <f>IF($I945&gt;=20,"Critical",IF($I945&gt;=15,"High",IF($I945&gt;=10,"Medium",IF($I945&gt;=5,"Low",IF($I945&gt;0,"Very Low","")))))</f>
        <v/>
      </c>
      <c r="K945" s="5" t="n"/>
      <c r="O945">
        <f>VALUE(LEFT($M945,1))*VALUE(LEFT($N945,1))</f>
        <v/>
      </c>
      <c r="P945">
        <f>IF($O945&gt;=20,"Critical",IF($O945&gt;=15,"High",IF($O945&gt;=10,"Medium",IF($O945&gt;=5,"Low",IF($O945&gt;0,"Very Low","")))))</f>
        <v/>
      </c>
      <c r="S945" s="5" t="n"/>
      <c r="V945" s="5" t="n"/>
      <c r="W945" s="6" t="n"/>
      <c r="X945" s="6" t="n"/>
      <c r="Z945" s="5" t="n"/>
    </row>
    <row r="946">
      <c r="D946" s="5" t="n"/>
      <c r="E946" s="5" t="n"/>
      <c r="F946" s="5" t="n"/>
      <c r="I946">
        <f>VALUE(LEFT($G946,1))*VALUE(LEFT($H946,1))</f>
        <v/>
      </c>
      <c r="J946">
        <f>IF($I946&gt;=20,"Critical",IF($I946&gt;=15,"High",IF($I946&gt;=10,"Medium",IF($I946&gt;=5,"Low",IF($I946&gt;0,"Very Low","")))))</f>
        <v/>
      </c>
      <c r="K946" s="5" t="n"/>
      <c r="O946">
        <f>VALUE(LEFT($M946,1))*VALUE(LEFT($N946,1))</f>
        <v/>
      </c>
      <c r="P946">
        <f>IF($O946&gt;=20,"Critical",IF($O946&gt;=15,"High",IF($O946&gt;=10,"Medium",IF($O946&gt;=5,"Low",IF($O946&gt;0,"Very Low","")))))</f>
        <v/>
      </c>
      <c r="S946" s="5" t="n"/>
      <c r="V946" s="5" t="n"/>
      <c r="W946" s="6" t="n"/>
      <c r="X946" s="6" t="n"/>
      <c r="Z946" s="5" t="n"/>
    </row>
    <row r="947">
      <c r="D947" s="5" t="n"/>
      <c r="E947" s="5" t="n"/>
      <c r="F947" s="5" t="n"/>
      <c r="I947">
        <f>VALUE(LEFT($G947,1))*VALUE(LEFT($H947,1))</f>
        <v/>
      </c>
      <c r="J947">
        <f>IF($I947&gt;=20,"Critical",IF($I947&gt;=15,"High",IF($I947&gt;=10,"Medium",IF($I947&gt;=5,"Low",IF($I947&gt;0,"Very Low","")))))</f>
        <v/>
      </c>
      <c r="K947" s="5" t="n"/>
      <c r="O947">
        <f>VALUE(LEFT($M947,1))*VALUE(LEFT($N947,1))</f>
        <v/>
      </c>
      <c r="P947">
        <f>IF($O947&gt;=20,"Critical",IF($O947&gt;=15,"High",IF($O947&gt;=10,"Medium",IF($O947&gt;=5,"Low",IF($O947&gt;0,"Very Low","")))))</f>
        <v/>
      </c>
      <c r="S947" s="5" t="n"/>
      <c r="V947" s="5" t="n"/>
      <c r="W947" s="6" t="n"/>
      <c r="X947" s="6" t="n"/>
      <c r="Z947" s="5" t="n"/>
    </row>
    <row r="948">
      <c r="D948" s="5" t="n"/>
      <c r="E948" s="5" t="n"/>
      <c r="F948" s="5" t="n"/>
      <c r="I948">
        <f>VALUE(LEFT($G948,1))*VALUE(LEFT($H948,1))</f>
        <v/>
      </c>
      <c r="J948">
        <f>IF($I948&gt;=20,"Critical",IF($I948&gt;=15,"High",IF($I948&gt;=10,"Medium",IF($I948&gt;=5,"Low",IF($I948&gt;0,"Very Low","")))))</f>
        <v/>
      </c>
      <c r="K948" s="5" t="n"/>
      <c r="O948">
        <f>VALUE(LEFT($M948,1))*VALUE(LEFT($N948,1))</f>
        <v/>
      </c>
      <c r="P948">
        <f>IF($O948&gt;=20,"Critical",IF($O948&gt;=15,"High",IF($O948&gt;=10,"Medium",IF($O948&gt;=5,"Low",IF($O948&gt;0,"Very Low","")))))</f>
        <v/>
      </c>
      <c r="S948" s="5" t="n"/>
      <c r="V948" s="5" t="n"/>
      <c r="W948" s="6" t="n"/>
      <c r="X948" s="6" t="n"/>
      <c r="Z948" s="5" t="n"/>
    </row>
    <row r="949">
      <c r="D949" s="5" t="n"/>
      <c r="E949" s="5" t="n"/>
      <c r="F949" s="5" t="n"/>
      <c r="I949">
        <f>VALUE(LEFT($G949,1))*VALUE(LEFT($H949,1))</f>
        <v/>
      </c>
      <c r="J949">
        <f>IF($I949&gt;=20,"Critical",IF($I949&gt;=15,"High",IF($I949&gt;=10,"Medium",IF($I949&gt;=5,"Low",IF($I949&gt;0,"Very Low","")))))</f>
        <v/>
      </c>
      <c r="K949" s="5" t="n"/>
      <c r="O949">
        <f>VALUE(LEFT($M949,1))*VALUE(LEFT($N949,1))</f>
        <v/>
      </c>
      <c r="P949">
        <f>IF($O949&gt;=20,"Critical",IF($O949&gt;=15,"High",IF($O949&gt;=10,"Medium",IF($O949&gt;=5,"Low",IF($O949&gt;0,"Very Low","")))))</f>
        <v/>
      </c>
      <c r="S949" s="5" t="n"/>
      <c r="V949" s="5" t="n"/>
      <c r="W949" s="6" t="n"/>
      <c r="X949" s="6" t="n"/>
      <c r="Z949" s="5" t="n"/>
    </row>
    <row r="950">
      <c r="D950" s="5" t="n"/>
      <c r="E950" s="5" t="n"/>
      <c r="F950" s="5" t="n"/>
      <c r="I950">
        <f>VALUE(LEFT($G950,1))*VALUE(LEFT($H950,1))</f>
        <v/>
      </c>
      <c r="J950">
        <f>IF($I950&gt;=20,"Critical",IF($I950&gt;=15,"High",IF($I950&gt;=10,"Medium",IF($I950&gt;=5,"Low",IF($I950&gt;0,"Very Low","")))))</f>
        <v/>
      </c>
      <c r="K950" s="5" t="n"/>
      <c r="O950">
        <f>VALUE(LEFT($M950,1))*VALUE(LEFT($N950,1))</f>
        <v/>
      </c>
      <c r="P950">
        <f>IF($O950&gt;=20,"Critical",IF($O950&gt;=15,"High",IF($O950&gt;=10,"Medium",IF($O950&gt;=5,"Low",IF($O950&gt;0,"Very Low","")))))</f>
        <v/>
      </c>
      <c r="S950" s="5" t="n"/>
      <c r="V950" s="5" t="n"/>
      <c r="W950" s="6" t="n"/>
      <c r="X950" s="6" t="n"/>
      <c r="Z950" s="5" t="n"/>
    </row>
    <row r="951">
      <c r="D951" s="5" t="n"/>
      <c r="E951" s="5" t="n"/>
      <c r="F951" s="5" t="n"/>
      <c r="I951">
        <f>VALUE(LEFT($G951,1))*VALUE(LEFT($H951,1))</f>
        <v/>
      </c>
      <c r="J951">
        <f>IF($I951&gt;=20,"Critical",IF($I951&gt;=15,"High",IF($I951&gt;=10,"Medium",IF($I951&gt;=5,"Low",IF($I951&gt;0,"Very Low","")))))</f>
        <v/>
      </c>
      <c r="K951" s="5" t="n"/>
      <c r="O951">
        <f>VALUE(LEFT($M951,1))*VALUE(LEFT($N951,1))</f>
        <v/>
      </c>
      <c r="P951">
        <f>IF($O951&gt;=20,"Critical",IF($O951&gt;=15,"High",IF($O951&gt;=10,"Medium",IF($O951&gt;=5,"Low",IF($O951&gt;0,"Very Low","")))))</f>
        <v/>
      </c>
      <c r="S951" s="5" t="n"/>
      <c r="V951" s="5" t="n"/>
      <c r="W951" s="6" t="n"/>
      <c r="X951" s="6" t="n"/>
      <c r="Z951" s="5" t="n"/>
    </row>
    <row r="952">
      <c r="D952" s="5" t="n"/>
      <c r="E952" s="5" t="n"/>
      <c r="F952" s="5" t="n"/>
      <c r="I952">
        <f>VALUE(LEFT($G952,1))*VALUE(LEFT($H952,1))</f>
        <v/>
      </c>
      <c r="J952">
        <f>IF($I952&gt;=20,"Critical",IF($I952&gt;=15,"High",IF($I952&gt;=10,"Medium",IF($I952&gt;=5,"Low",IF($I952&gt;0,"Very Low","")))))</f>
        <v/>
      </c>
      <c r="K952" s="5" t="n"/>
      <c r="O952">
        <f>VALUE(LEFT($M952,1))*VALUE(LEFT($N952,1))</f>
        <v/>
      </c>
      <c r="P952">
        <f>IF($O952&gt;=20,"Critical",IF($O952&gt;=15,"High",IF($O952&gt;=10,"Medium",IF($O952&gt;=5,"Low",IF($O952&gt;0,"Very Low","")))))</f>
        <v/>
      </c>
      <c r="S952" s="5" t="n"/>
      <c r="V952" s="5" t="n"/>
      <c r="W952" s="6" t="n"/>
      <c r="X952" s="6" t="n"/>
      <c r="Z952" s="5" t="n"/>
    </row>
    <row r="953">
      <c r="D953" s="5" t="n"/>
      <c r="E953" s="5" t="n"/>
      <c r="F953" s="5" t="n"/>
      <c r="I953">
        <f>VALUE(LEFT($G953,1))*VALUE(LEFT($H953,1))</f>
        <v/>
      </c>
      <c r="J953">
        <f>IF($I953&gt;=20,"Critical",IF($I953&gt;=15,"High",IF($I953&gt;=10,"Medium",IF($I953&gt;=5,"Low",IF($I953&gt;0,"Very Low","")))))</f>
        <v/>
      </c>
      <c r="K953" s="5" t="n"/>
      <c r="O953">
        <f>VALUE(LEFT($M953,1))*VALUE(LEFT($N953,1))</f>
        <v/>
      </c>
      <c r="P953">
        <f>IF($O953&gt;=20,"Critical",IF($O953&gt;=15,"High",IF($O953&gt;=10,"Medium",IF($O953&gt;=5,"Low",IF($O953&gt;0,"Very Low","")))))</f>
        <v/>
      </c>
      <c r="S953" s="5" t="n"/>
      <c r="V953" s="5" t="n"/>
      <c r="W953" s="6" t="n"/>
      <c r="X953" s="6" t="n"/>
      <c r="Z953" s="5" t="n"/>
    </row>
    <row r="954">
      <c r="D954" s="5" t="n"/>
      <c r="E954" s="5" t="n"/>
      <c r="F954" s="5" t="n"/>
      <c r="I954">
        <f>VALUE(LEFT($G954,1))*VALUE(LEFT($H954,1))</f>
        <v/>
      </c>
      <c r="J954">
        <f>IF($I954&gt;=20,"Critical",IF($I954&gt;=15,"High",IF($I954&gt;=10,"Medium",IF($I954&gt;=5,"Low",IF($I954&gt;0,"Very Low","")))))</f>
        <v/>
      </c>
      <c r="K954" s="5" t="n"/>
      <c r="O954">
        <f>VALUE(LEFT($M954,1))*VALUE(LEFT($N954,1))</f>
        <v/>
      </c>
      <c r="P954">
        <f>IF($O954&gt;=20,"Critical",IF($O954&gt;=15,"High",IF($O954&gt;=10,"Medium",IF($O954&gt;=5,"Low",IF($O954&gt;0,"Very Low","")))))</f>
        <v/>
      </c>
      <c r="S954" s="5" t="n"/>
      <c r="V954" s="5" t="n"/>
      <c r="W954" s="6" t="n"/>
      <c r="X954" s="6" t="n"/>
      <c r="Z954" s="5" t="n"/>
    </row>
    <row r="955">
      <c r="D955" s="5" t="n"/>
      <c r="E955" s="5" t="n"/>
      <c r="F955" s="5" t="n"/>
      <c r="I955">
        <f>VALUE(LEFT($G955,1))*VALUE(LEFT($H955,1))</f>
        <v/>
      </c>
      <c r="J955">
        <f>IF($I955&gt;=20,"Critical",IF($I955&gt;=15,"High",IF($I955&gt;=10,"Medium",IF($I955&gt;=5,"Low",IF($I955&gt;0,"Very Low","")))))</f>
        <v/>
      </c>
      <c r="K955" s="5" t="n"/>
      <c r="O955">
        <f>VALUE(LEFT($M955,1))*VALUE(LEFT($N955,1))</f>
        <v/>
      </c>
      <c r="P955">
        <f>IF($O955&gt;=20,"Critical",IF($O955&gt;=15,"High",IF($O955&gt;=10,"Medium",IF($O955&gt;=5,"Low",IF($O955&gt;0,"Very Low","")))))</f>
        <v/>
      </c>
      <c r="S955" s="5" t="n"/>
      <c r="V955" s="5" t="n"/>
      <c r="W955" s="6" t="n"/>
      <c r="X955" s="6" t="n"/>
      <c r="Z955" s="5" t="n"/>
    </row>
    <row r="956">
      <c r="D956" s="5" t="n"/>
      <c r="E956" s="5" t="n"/>
      <c r="F956" s="5" t="n"/>
      <c r="I956">
        <f>VALUE(LEFT($G956,1))*VALUE(LEFT($H956,1))</f>
        <v/>
      </c>
      <c r="J956">
        <f>IF($I956&gt;=20,"Critical",IF($I956&gt;=15,"High",IF($I956&gt;=10,"Medium",IF($I956&gt;=5,"Low",IF($I956&gt;0,"Very Low","")))))</f>
        <v/>
      </c>
      <c r="K956" s="5" t="n"/>
      <c r="O956">
        <f>VALUE(LEFT($M956,1))*VALUE(LEFT($N956,1))</f>
        <v/>
      </c>
      <c r="P956">
        <f>IF($O956&gt;=20,"Critical",IF($O956&gt;=15,"High",IF($O956&gt;=10,"Medium",IF($O956&gt;=5,"Low",IF($O956&gt;0,"Very Low","")))))</f>
        <v/>
      </c>
      <c r="S956" s="5" t="n"/>
      <c r="V956" s="5" t="n"/>
      <c r="W956" s="6" t="n"/>
      <c r="X956" s="6" t="n"/>
      <c r="Z956" s="5" t="n"/>
    </row>
    <row r="957">
      <c r="D957" s="5" t="n"/>
      <c r="E957" s="5" t="n"/>
      <c r="F957" s="5" t="n"/>
      <c r="I957">
        <f>VALUE(LEFT($G957,1))*VALUE(LEFT($H957,1))</f>
        <v/>
      </c>
      <c r="J957">
        <f>IF($I957&gt;=20,"Critical",IF($I957&gt;=15,"High",IF($I957&gt;=10,"Medium",IF($I957&gt;=5,"Low",IF($I957&gt;0,"Very Low","")))))</f>
        <v/>
      </c>
      <c r="K957" s="5" t="n"/>
      <c r="O957">
        <f>VALUE(LEFT($M957,1))*VALUE(LEFT($N957,1))</f>
        <v/>
      </c>
      <c r="P957">
        <f>IF($O957&gt;=20,"Critical",IF($O957&gt;=15,"High",IF($O957&gt;=10,"Medium",IF($O957&gt;=5,"Low",IF($O957&gt;0,"Very Low","")))))</f>
        <v/>
      </c>
      <c r="S957" s="5" t="n"/>
      <c r="V957" s="5" t="n"/>
      <c r="W957" s="6" t="n"/>
      <c r="X957" s="6" t="n"/>
      <c r="Z957" s="5" t="n"/>
    </row>
    <row r="958">
      <c r="D958" s="5" t="n"/>
      <c r="E958" s="5" t="n"/>
      <c r="F958" s="5" t="n"/>
      <c r="I958">
        <f>VALUE(LEFT($G958,1))*VALUE(LEFT($H958,1))</f>
        <v/>
      </c>
      <c r="J958">
        <f>IF($I958&gt;=20,"Critical",IF($I958&gt;=15,"High",IF($I958&gt;=10,"Medium",IF($I958&gt;=5,"Low",IF($I958&gt;0,"Very Low","")))))</f>
        <v/>
      </c>
      <c r="K958" s="5" t="n"/>
      <c r="O958">
        <f>VALUE(LEFT($M958,1))*VALUE(LEFT($N958,1))</f>
        <v/>
      </c>
      <c r="P958">
        <f>IF($O958&gt;=20,"Critical",IF($O958&gt;=15,"High",IF($O958&gt;=10,"Medium",IF($O958&gt;=5,"Low",IF($O958&gt;0,"Very Low","")))))</f>
        <v/>
      </c>
      <c r="S958" s="5" t="n"/>
      <c r="V958" s="5" t="n"/>
      <c r="W958" s="6" t="n"/>
      <c r="X958" s="6" t="n"/>
      <c r="Z958" s="5" t="n"/>
    </row>
    <row r="959">
      <c r="D959" s="5" t="n"/>
      <c r="E959" s="5" t="n"/>
      <c r="F959" s="5" t="n"/>
      <c r="I959">
        <f>VALUE(LEFT($G959,1))*VALUE(LEFT($H959,1))</f>
        <v/>
      </c>
      <c r="J959">
        <f>IF($I959&gt;=20,"Critical",IF($I959&gt;=15,"High",IF($I959&gt;=10,"Medium",IF($I959&gt;=5,"Low",IF($I959&gt;0,"Very Low","")))))</f>
        <v/>
      </c>
      <c r="K959" s="5" t="n"/>
      <c r="O959">
        <f>VALUE(LEFT($M959,1))*VALUE(LEFT($N959,1))</f>
        <v/>
      </c>
      <c r="P959">
        <f>IF($O959&gt;=20,"Critical",IF($O959&gt;=15,"High",IF($O959&gt;=10,"Medium",IF($O959&gt;=5,"Low",IF($O959&gt;0,"Very Low","")))))</f>
        <v/>
      </c>
      <c r="S959" s="5" t="n"/>
      <c r="V959" s="5" t="n"/>
      <c r="W959" s="6" t="n"/>
      <c r="X959" s="6" t="n"/>
      <c r="Z959" s="5" t="n"/>
    </row>
    <row r="960">
      <c r="D960" s="5" t="n"/>
      <c r="E960" s="5" t="n"/>
      <c r="F960" s="5" t="n"/>
      <c r="I960">
        <f>VALUE(LEFT($G960,1))*VALUE(LEFT($H960,1))</f>
        <v/>
      </c>
      <c r="J960">
        <f>IF($I960&gt;=20,"Critical",IF($I960&gt;=15,"High",IF($I960&gt;=10,"Medium",IF($I960&gt;=5,"Low",IF($I960&gt;0,"Very Low","")))))</f>
        <v/>
      </c>
      <c r="K960" s="5" t="n"/>
      <c r="O960">
        <f>VALUE(LEFT($M960,1))*VALUE(LEFT($N960,1))</f>
        <v/>
      </c>
      <c r="P960">
        <f>IF($O960&gt;=20,"Critical",IF($O960&gt;=15,"High",IF($O960&gt;=10,"Medium",IF($O960&gt;=5,"Low",IF($O960&gt;0,"Very Low","")))))</f>
        <v/>
      </c>
      <c r="S960" s="5" t="n"/>
      <c r="V960" s="5" t="n"/>
      <c r="W960" s="6" t="n"/>
      <c r="X960" s="6" t="n"/>
      <c r="Z960" s="5" t="n"/>
    </row>
    <row r="961">
      <c r="D961" s="5" t="n"/>
      <c r="E961" s="5" t="n"/>
      <c r="F961" s="5" t="n"/>
      <c r="I961">
        <f>VALUE(LEFT($G961,1))*VALUE(LEFT($H961,1))</f>
        <v/>
      </c>
      <c r="J961">
        <f>IF($I961&gt;=20,"Critical",IF($I961&gt;=15,"High",IF($I961&gt;=10,"Medium",IF($I961&gt;=5,"Low",IF($I961&gt;0,"Very Low","")))))</f>
        <v/>
      </c>
      <c r="K961" s="5" t="n"/>
      <c r="O961">
        <f>VALUE(LEFT($M961,1))*VALUE(LEFT($N961,1))</f>
        <v/>
      </c>
      <c r="P961">
        <f>IF($O961&gt;=20,"Critical",IF($O961&gt;=15,"High",IF($O961&gt;=10,"Medium",IF($O961&gt;=5,"Low",IF($O961&gt;0,"Very Low","")))))</f>
        <v/>
      </c>
      <c r="S961" s="5" t="n"/>
      <c r="V961" s="5" t="n"/>
      <c r="W961" s="6" t="n"/>
      <c r="X961" s="6" t="n"/>
      <c r="Z961" s="5" t="n"/>
    </row>
    <row r="962">
      <c r="D962" s="5" t="n"/>
      <c r="E962" s="5" t="n"/>
      <c r="F962" s="5" t="n"/>
      <c r="I962">
        <f>VALUE(LEFT($G962,1))*VALUE(LEFT($H962,1))</f>
        <v/>
      </c>
      <c r="J962">
        <f>IF($I962&gt;=20,"Critical",IF($I962&gt;=15,"High",IF($I962&gt;=10,"Medium",IF($I962&gt;=5,"Low",IF($I962&gt;0,"Very Low","")))))</f>
        <v/>
      </c>
      <c r="K962" s="5" t="n"/>
      <c r="O962">
        <f>VALUE(LEFT($M962,1))*VALUE(LEFT($N962,1))</f>
        <v/>
      </c>
      <c r="P962">
        <f>IF($O962&gt;=20,"Critical",IF($O962&gt;=15,"High",IF($O962&gt;=10,"Medium",IF($O962&gt;=5,"Low",IF($O962&gt;0,"Very Low","")))))</f>
        <v/>
      </c>
      <c r="S962" s="5" t="n"/>
      <c r="V962" s="5" t="n"/>
      <c r="W962" s="6" t="n"/>
      <c r="X962" s="6" t="n"/>
      <c r="Z962" s="5" t="n"/>
    </row>
    <row r="963">
      <c r="D963" s="5" t="n"/>
      <c r="E963" s="5" t="n"/>
      <c r="F963" s="5" t="n"/>
      <c r="I963">
        <f>VALUE(LEFT($G963,1))*VALUE(LEFT($H963,1))</f>
        <v/>
      </c>
      <c r="J963">
        <f>IF($I963&gt;=20,"Critical",IF($I963&gt;=15,"High",IF($I963&gt;=10,"Medium",IF($I963&gt;=5,"Low",IF($I963&gt;0,"Very Low","")))))</f>
        <v/>
      </c>
      <c r="K963" s="5" t="n"/>
      <c r="O963">
        <f>VALUE(LEFT($M963,1))*VALUE(LEFT($N963,1))</f>
        <v/>
      </c>
      <c r="P963">
        <f>IF($O963&gt;=20,"Critical",IF($O963&gt;=15,"High",IF($O963&gt;=10,"Medium",IF($O963&gt;=5,"Low",IF($O963&gt;0,"Very Low","")))))</f>
        <v/>
      </c>
      <c r="S963" s="5" t="n"/>
      <c r="V963" s="5" t="n"/>
      <c r="W963" s="6" t="n"/>
      <c r="X963" s="6" t="n"/>
      <c r="Z963" s="5" t="n"/>
    </row>
    <row r="964">
      <c r="D964" s="5" t="n"/>
      <c r="E964" s="5" t="n"/>
      <c r="F964" s="5" t="n"/>
      <c r="I964">
        <f>VALUE(LEFT($G964,1))*VALUE(LEFT($H964,1))</f>
        <v/>
      </c>
      <c r="J964">
        <f>IF($I964&gt;=20,"Critical",IF($I964&gt;=15,"High",IF($I964&gt;=10,"Medium",IF($I964&gt;=5,"Low",IF($I964&gt;0,"Very Low","")))))</f>
        <v/>
      </c>
      <c r="K964" s="5" t="n"/>
      <c r="O964">
        <f>VALUE(LEFT($M964,1))*VALUE(LEFT($N964,1))</f>
        <v/>
      </c>
      <c r="P964">
        <f>IF($O964&gt;=20,"Critical",IF($O964&gt;=15,"High",IF($O964&gt;=10,"Medium",IF($O964&gt;=5,"Low",IF($O964&gt;0,"Very Low","")))))</f>
        <v/>
      </c>
      <c r="S964" s="5" t="n"/>
      <c r="V964" s="5" t="n"/>
      <c r="W964" s="6" t="n"/>
      <c r="X964" s="6" t="n"/>
      <c r="Z964" s="5" t="n"/>
    </row>
    <row r="965">
      <c r="D965" s="5" t="n"/>
      <c r="E965" s="5" t="n"/>
      <c r="F965" s="5" t="n"/>
      <c r="I965">
        <f>VALUE(LEFT($G965,1))*VALUE(LEFT($H965,1))</f>
        <v/>
      </c>
      <c r="J965">
        <f>IF($I965&gt;=20,"Critical",IF($I965&gt;=15,"High",IF($I965&gt;=10,"Medium",IF($I965&gt;=5,"Low",IF($I965&gt;0,"Very Low","")))))</f>
        <v/>
      </c>
      <c r="K965" s="5" t="n"/>
      <c r="O965">
        <f>VALUE(LEFT($M965,1))*VALUE(LEFT($N965,1))</f>
        <v/>
      </c>
      <c r="P965">
        <f>IF($O965&gt;=20,"Critical",IF($O965&gt;=15,"High",IF($O965&gt;=10,"Medium",IF($O965&gt;=5,"Low",IF($O965&gt;0,"Very Low","")))))</f>
        <v/>
      </c>
      <c r="S965" s="5" t="n"/>
      <c r="V965" s="5" t="n"/>
      <c r="W965" s="6" t="n"/>
      <c r="X965" s="6" t="n"/>
      <c r="Z965" s="5" t="n"/>
    </row>
    <row r="966">
      <c r="D966" s="5" t="n"/>
      <c r="E966" s="5" t="n"/>
      <c r="F966" s="5" t="n"/>
      <c r="I966">
        <f>VALUE(LEFT($G966,1))*VALUE(LEFT($H966,1))</f>
        <v/>
      </c>
      <c r="J966">
        <f>IF($I966&gt;=20,"Critical",IF($I966&gt;=15,"High",IF($I966&gt;=10,"Medium",IF($I966&gt;=5,"Low",IF($I966&gt;0,"Very Low","")))))</f>
        <v/>
      </c>
      <c r="K966" s="5" t="n"/>
      <c r="O966">
        <f>VALUE(LEFT($M966,1))*VALUE(LEFT($N966,1))</f>
        <v/>
      </c>
      <c r="P966">
        <f>IF($O966&gt;=20,"Critical",IF($O966&gt;=15,"High",IF($O966&gt;=10,"Medium",IF($O966&gt;=5,"Low",IF($O966&gt;0,"Very Low","")))))</f>
        <v/>
      </c>
      <c r="S966" s="5" t="n"/>
      <c r="V966" s="5" t="n"/>
      <c r="W966" s="6" t="n"/>
      <c r="X966" s="6" t="n"/>
      <c r="Z966" s="5" t="n"/>
    </row>
    <row r="967">
      <c r="D967" s="5" t="n"/>
      <c r="E967" s="5" t="n"/>
      <c r="F967" s="5" t="n"/>
      <c r="I967">
        <f>VALUE(LEFT($G967,1))*VALUE(LEFT($H967,1))</f>
        <v/>
      </c>
      <c r="J967">
        <f>IF($I967&gt;=20,"Critical",IF($I967&gt;=15,"High",IF($I967&gt;=10,"Medium",IF($I967&gt;=5,"Low",IF($I967&gt;0,"Very Low","")))))</f>
        <v/>
      </c>
      <c r="K967" s="5" t="n"/>
      <c r="O967">
        <f>VALUE(LEFT($M967,1))*VALUE(LEFT($N967,1))</f>
        <v/>
      </c>
      <c r="P967">
        <f>IF($O967&gt;=20,"Critical",IF($O967&gt;=15,"High",IF($O967&gt;=10,"Medium",IF($O967&gt;=5,"Low",IF($O967&gt;0,"Very Low","")))))</f>
        <v/>
      </c>
      <c r="S967" s="5" t="n"/>
      <c r="V967" s="5" t="n"/>
      <c r="W967" s="6" t="n"/>
      <c r="X967" s="6" t="n"/>
      <c r="Z967" s="5" t="n"/>
    </row>
    <row r="968">
      <c r="D968" s="5" t="n"/>
      <c r="E968" s="5" t="n"/>
      <c r="F968" s="5" t="n"/>
      <c r="I968">
        <f>VALUE(LEFT($G968,1))*VALUE(LEFT($H968,1))</f>
        <v/>
      </c>
      <c r="J968">
        <f>IF($I968&gt;=20,"Critical",IF($I968&gt;=15,"High",IF($I968&gt;=10,"Medium",IF($I968&gt;=5,"Low",IF($I968&gt;0,"Very Low","")))))</f>
        <v/>
      </c>
      <c r="K968" s="5" t="n"/>
      <c r="O968">
        <f>VALUE(LEFT($M968,1))*VALUE(LEFT($N968,1))</f>
        <v/>
      </c>
      <c r="P968">
        <f>IF($O968&gt;=20,"Critical",IF($O968&gt;=15,"High",IF($O968&gt;=10,"Medium",IF($O968&gt;=5,"Low",IF($O968&gt;0,"Very Low","")))))</f>
        <v/>
      </c>
      <c r="S968" s="5" t="n"/>
      <c r="V968" s="5" t="n"/>
      <c r="W968" s="6" t="n"/>
      <c r="X968" s="6" t="n"/>
      <c r="Z968" s="5" t="n"/>
    </row>
    <row r="969">
      <c r="D969" s="5" t="n"/>
      <c r="E969" s="5" t="n"/>
      <c r="F969" s="5" t="n"/>
      <c r="I969">
        <f>VALUE(LEFT($G969,1))*VALUE(LEFT($H969,1))</f>
        <v/>
      </c>
      <c r="J969">
        <f>IF($I969&gt;=20,"Critical",IF($I969&gt;=15,"High",IF($I969&gt;=10,"Medium",IF($I969&gt;=5,"Low",IF($I969&gt;0,"Very Low","")))))</f>
        <v/>
      </c>
      <c r="K969" s="5" t="n"/>
      <c r="O969">
        <f>VALUE(LEFT($M969,1))*VALUE(LEFT($N969,1))</f>
        <v/>
      </c>
      <c r="P969">
        <f>IF($O969&gt;=20,"Critical",IF($O969&gt;=15,"High",IF($O969&gt;=10,"Medium",IF($O969&gt;=5,"Low",IF($O969&gt;0,"Very Low","")))))</f>
        <v/>
      </c>
      <c r="S969" s="5" t="n"/>
      <c r="V969" s="5" t="n"/>
      <c r="W969" s="6" t="n"/>
      <c r="X969" s="6" t="n"/>
      <c r="Z969" s="5" t="n"/>
    </row>
    <row r="970">
      <c r="D970" s="5" t="n"/>
      <c r="E970" s="5" t="n"/>
      <c r="F970" s="5" t="n"/>
      <c r="I970">
        <f>VALUE(LEFT($G970,1))*VALUE(LEFT($H970,1))</f>
        <v/>
      </c>
      <c r="J970">
        <f>IF($I970&gt;=20,"Critical",IF($I970&gt;=15,"High",IF($I970&gt;=10,"Medium",IF($I970&gt;=5,"Low",IF($I970&gt;0,"Very Low","")))))</f>
        <v/>
      </c>
      <c r="K970" s="5" t="n"/>
      <c r="O970">
        <f>VALUE(LEFT($M970,1))*VALUE(LEFT($N970,1))</f>
        <v/>
      </c>
      <c r="P970">
        <f>IF($O970&gt;=20,"Critical",IF($O970&gt;=15,"High",IF($O970&gt;=10,"Medium",IF($O970&gt;=5,"Low",IF($O970&gt;0,"Very Low","")))))</f>
        <v/>
      </c>
      <c r="S970" s="5" t="n"/>
      <c r="V970" s="5" t="n"/>
      <c r="W970" s="6" t="n"/>
      <c r="X970" s="6" t="n"/>
      <c r="Z970" s="5" t="n"/>
    </row>
    <row r="971">
      <c r="D971" s="5" t="n"/>
      <c r="E971" s="5" t="n"/>
      <c r="F971" s="5" t="n"/>
      <c r="I971">
        <f>VALUE(LEFT($G971,1))*VALUE(LEFT($H971,1))</f>
        <v/>
      </c>
      <c r="J971">
        <f>IF($I971&gt;=20,"Critical",IF($I971&gt;=15,"High",IF($I971&gt;=10,"Medium",IF($I971&gt;=5,"Low",IF($I971&gt;0,"Very Low","")))))</f>
        <v/>
      </c>
      <c r="K971" s="5" t="n"/>
      <c r="O971">
        <f>VALUE(LEFT($M971,1))*VALUE(LEFT($N971,1))</f>
        <v/>
      </c>
      <c r="P971">
        <f>IF($O971&gt;=20,"Critical",IF($O971&gt;=15,"High",IF($O971&gt;=10,"Medium",IF($O971&gt;=5,"Low",IF($O971&gt;0,"Very Low","")))))</f>
        <v/>
      </c>
      <c r="S971" s="5" t="n"/>
      <c r="V971" s="5" t="n"/>
      <c r="W971" s="6" t="n"/>
      <c r="X971" s="6" t="n"/>
      <c r="Z971" s="5" t="n"/>
    </row>
    <row r="972">
      <c r="D972" s="5" t="n"/>
      <c r="E972" s="5" t="n"/>
      <c r="F972" s="5" t="n"/>
      <c r="I972">
        <f>VALUE(LEFT($G972,1))*VALUE(LEFT($H972,1))</f>
        <v/>
      </c>
      <c r="J972">
        <f>IF($I972&gt;=20,"Critical",IF($I972&gt;=15,"High",IF($I972&gt;=10,"Medium",IF($I972&gt;=5,"Low",IF($I972&gt;0,"Very Low","")))))</f>
        <v/>
      </c>
      <c r="K972" s="5" t="n"/>
      <c r="O972">
        <f>VALUE(LEFT($M972,1))*VALUE(LEFT($N972,1))</f>
        <v/>
      </c>
      <c r="P972">
        <f>IF($O972&gt;=20,"Critical",IF($O972&gt;=15,"High",IF($O972&gt;=10,"Medium",IF($O972&gt;=5,"Low",IF($O972&gt;0,"Very Low","")))))</f>
        <v/>
      </c>
      <c r="S972" s="5" t="n"/>
      <c r="V972" s="5" t="n"/>
      <c r="W972" s="6" t="n"/>
      <c r="X972" s="6" t="n"/>
      <c r="Z972" s="5" t="n"/>
    </row>
    <row r="973">
      <c r="D973" s="5" t="n"/>
      <c r="E973" s="5" t="n"/>
      <c r="F973" s="5" t="n"/>
      <c r="I973">
        <f>VALUE(LEFT($G973,1))*VALUE(LEFT($H973,1))</f>
        <v/>
      </c>
      <c r="J973">
        <f>IF($I973&gt;=20,"Critical",IF($I973&gt;=15,"High",IF($I973&gt;=10,"Medium",IF($I973&gt;=5,"Low",IF($I973&gt;0,"Very Low","")))))</f>
        <v/>
      </c>
      <c r="K973" s="5" t="n"/>
      <c r="O973">
        <f>VALUE(LEFT($M973,1))*VALUE(LEFT($N973,1))</f>
        <v/>
      </c>
      <c r="P973">
        <f>IF($O973&gt;=20,"Critical",IF($O973&gt;=15,"High",IF($O973&gt;=10,"Medium",IF($O973&gt;=5,"Low",IF($O973&gt;0,"Very Low","")))))</f>
        <v/>
      </c>
      <c r="S973" s="5" t="n"/>
      <c r="V973" s="5" t="n"/>
      <c r="W973" s="6" t="n"/>
      <c r="X973" s="6" t="n"/>
      <c r="Z973" s="5" t="n"/>
    </row>
    <row r="974">
      <c r="D974" s="5" t="n"/>
      <c r="E974" s="5" t="n"/>
      <c r="F974" s="5" t="n"/>
      <c r="I974">
        <f>VALUE(LEFT($G974,1))*VALUE(LEFT($H974,1))</f>
        <v/>
      </c>
      <c r="J974">
        <f>IF($I974&gt;=20,"Critical",IF($I974&gt;=15,"High",IF($I974&gt;=10,"Medium",IF($I974&gt;=5,"Low",IF($I974&gt;0,"Very Low","")))))</f>
        <v/>
      </c>
      <c r="K974" s="5" t="n"/>
      <c r="O974">
        <f>VALUE(LEFT($M974,1))*VALUE(LEFT($N974,1))</f>
        <v/>
      </c>
      <c r="P974">
        <f>IF($O974&gt;=20,"Critical",IF($O974&gt;=15,"High",IF($O974&gt;=10,"Medium",IF($O974&gt;=5,"Low",IF($O974&gt;0,"Very Low","")))))</f>
        <v/>
      </c>
      <c r="S974" s="5" t="n"/>
      <c r="V974" s="5" t="n"/>
      <c r="W974" s="6" t="n"/>
      <c r="X974" s="6" t="n"/>
      <c r="Z974" s="5" t="n"/>
    </row>
    <row r="975">
      <c r="D975" s="5" t="n"/>
      <c r="E975" s="5" t="n"/>
      <c r="F975" s="5" t="n"/>
      <c r="I975">
        <f>VALUE(LEFT($G975,1))*VALUE(LEFT($H975,1))</f>
        <v/>
      </c>
      <c r="J975">
        <f>IF($I975&gt;=20,"Critical",IF($I975&gt;=15,"High",IF($I975&gt;=10,"Medium",IF($I975&gt;=5,"Low",IF($I975&gt;0,"Very Low","")))))</f>
        <v/>
      </c>
      <c r="K975" s="5" t="n"/>
      <c r="O975">
        <f>VALUE(LEFT($M975,1))*VALUE(LEFT($N975,1))</f>
        <v/>
      </c>
      <c r="P975">
        <f>IF($O975&gt;=20,"Critical",IF($O975&gt;=15,"High",IF($O975&gt;=10,"Medium",IF($O975&gt;=5,"Low",IF($O975&gt;0,"Very Low","")))))</f>
        <v/>
      </c>
      <c r="S975" s="5" t="n"/>
      <c r="V975" s="5" t="n"/>
      <c r="W975" s="6" t="n"/>
      <c r="X975" s="6" t="n"/>
      <c r="Z975" s="5" t="n"/>
    </row>
    <row r="976">
      <c r="D976" s="5" t="n"/>
      <c r="E976" s="5" t="n"/>
      <c r="F976" s="5" t="n"/>
      <c r="I976">
        <f>VALUE(LEFT($G976,1))*VALUE(LEFT($H976,1))</f>
        <v/>
      </c>
      <c r="J976">
        <f>IF($I976&gt;=20,"Critical",IF($I976&gt;=15,"High",IF($I976&gt;=10,"Medium",IF($I976&gt;=5,"Low",IF($I976&gt;0,"Very Low","")))))</f>
        <v/>
      </c>
      <c r="K976" s="5" t="n"/>
      <c r="O976">
        <f>VALUE(LEFT($M976,1))*VALUE(LEFT($N976,1))</f>
        <v/>
      </c>
      <c r="P976">
        <f>IF($O976&gt;=20,"Critical",IF($O976&gt;=15,"High",IF($O976&gt;=10,"Medium",IF($O976&gt;=5,"Low",IF($O976&gt;0,"Very Low","")))))</f>
        <v/>
      </c>
      <c r="S976" s="5" t="n"/>
      <c r="V976" s="5" t="n"/>
      <c r="W976" s="6" t="n"/>
      <c r="X976" s="6" t="n"/>
      <c r="Z976" s="5" t="n"/>
    </row>
    <row r="977">
      <c r="D977" s="5" t="n"/>
      <c r="E977" s="5" t="n"/>
      <c r="F977" s="5" t="n"/>
      <c r="I977">
        <f>VALUE(LEFT($G977,1))*VALUE(LEFT($H977,1))</f>
        <v/>
      </c>
      <c r="J977">
        <f>IF($I977&gt;=20,"Critical",IF($I977&gt;=15,"High",IF($I977&gt;=10,"Medium",IF($I977&gt;=5,"Low",IF($I977&gt;0,"Very Low","")))))</f>
        <v/>
      </c>
      <c r="K977" s="5" t="n"/>
      <c r="O977">
        <f>VALUE(LEFT($M977,1))*VALUE(LEFT($N977,1))</f>
        <v/>
      </c>
      <c r="P977">
        <f>IF($O977&gt;=20,"Critical",IF($O977&gt;=15,"High",IF($O977&gt;=10,"Medium",IF($O977&gt;=5,"Low",IF($O977&gt;0,"Very Low","")))))</f>
        <v/>
      </c>
      <c r="S977" s="5" t="n"/>
      <c r="V977" s="5" t="n"/>
      <c r="W977" s="6" t="n"/>
      <c r="X977" s="6" t="n"/>
      <c r="Z977" s="5" t="n"/>
    </row>
    <row r="978">
      <c r="D978" s="5" t="n"/>
      <c r="E978" s="5" t="n"/>
      <c r="F978" s="5" t="n"/>
      <c r="I978">
        <f>VALUE(LEFT($G978,1))*VALUE(LEFT($H978,1))</f>
        <v/>
      </c>
      <c r="J978">
        <f>IF($I978&gt;=20,"Critical",IF($I978&gt;=15,"High",IF($I978&gt;=10,"Medium",IF($I978&gt;=5,"Low",IF($I978&gt;0,"Very Low","")))))</f>
        <v/>
      </c>
      <c r="K978" s="5" t="n"/>
      <c r="O978">
        <f>VALUE(LEFT($M978,1))*VALUE(LEFT($N978,1))</f>
        <v/>
      </c>
      <c r="P978">
        <f>IF($O978&gt;=20,"Critical",IF($O978&gt;=15,"High",IF($O978&gt;=10,"Medium",IF($O978&gt;=5,"Low",IF($O978&gt;0,"Very Low","")))))</f>
        <v/>
      </c>
      <c r="S978" s="5" t="n"/>
      <c r="V978" s="5" t="n"/>
      <c r="W978" s="6" t="n"/>
      <c r="X978" s="6" t="n"/>
      <c r="Z978" s="5" t="n"/>
    </row>
    <row r="979">
      <c r="D979" s="5" t="n"/>
      <c r="E979" s="5" t="n"/>
      <c r="F979" s="5" t="n"/>
      <c r="I979">
        <f>VALUE(LEFT($G979,1))*VALUE(LEFT($H979,1))</f>
        <v/>
      </c>
      <c r="J979">
        <f>IF($I979&gt;=20,"Critical",IF($I979&gt;=15,"High",IF($I979&gt;=10,"Medium",IF($I979&gt;=5,"Low",IF($I979&gt;0,"Very Low","")))))</f>
        <v/>
      </c>
      <c r="K979" s="5" t="n"/>
      <c r="O979">
        <f>VALUE(LEFT($M979,1))*VALUE(LEFT($N979,1))</f>
        <v/>
      </c>
      <c r="P979">
        <f>IF($O979&gt;=20,"Critical",IF($O979&gt;=15,"High",IF($O979&gt;=10,"Medium",IF($O979&gt;=5,"Low",IF($O979&gt;0,"Very Low","")))))</f>
        <v/>
      </c>
      <c r="S979" s="5" t="n"/>
      <c r="V979" s="5" t="n"/>
      <c r="W979" s="6" t="n"/>
      <c r="X979" s="6" t="n"/>
      <c r="Z979" s="5" t="n"/>
    </row>
    <row r="980">
      <c r="D980" s="5" t="n"/>
      <c r="E980" s="5" t="n"/>
      <c r="F980" s="5" t="n"/>
      <c r="I980">
        <f>VALUE(LEFT($G980,1))*VALUE(LEFT($H980,1))</f>
        <v/>
      </c>
      <c r="J980">
        <f>IF($I980&gt;=20,"Critical",IF($I980&gt;=15,"High",IF($I980&gt;=10,"Medium",IF($I980&gt;=5,"Low",IF($I980&gt;0,"Very Low","")))))</f>
        <v/>
      </c>
      <c r="K980" s="5" t="n"/>
      <c r="O980">
        <f>VALUE(LEFT($M980,1))*VALUE(LEFT($N980,1))</f>
        <v/>
      </c>
      <c r="P980">
        <f>IF($O980&gt;=20,"Critical",IF($O980&gt;=15,"High",IF($O980&gt;=10,"Medium",IF($O980&gt;=5,"Low",IF($O980&gt;0,"Very Low","")))))</f>
        <v/>
      </c>
      <c r="S980" s="5" t="n"/>
      <c r="V980" s="5" t="n"/>
      <c r="W980" s="6" t="n"/>
      <c r="X980" s="6" t="n"/>
      <c r="Z980" s="5" t="n"/>
    </row>
    <row r="981">
      <c r="D981" s="5" t="n"/>
      <c r="E981" s="5" t="n"/>
      <c r="F981" s="5" t="n"/>
      <c r="I981">
        <f>VALUE(LEFT($G981,1))*VALUE(LEFT($H981,1))</f>
        <v/>
      </c>
      <c r="J981">
        <f>IF($I981&gt;=20,"Critical",IF($I981&gt;=15,"High",IF($I981&gt;=10,"Medium",IF($I981&gt;=5,"Low",IF($I981&gt;0,"Very Low","")))))</f>
        <v/>
      </c>
      <c r="K981" s="5" t="n"/>
      <c r="O981">
        <f>VALUE(LEFT($M981,1))*VALUE(LEFT($N981,1))</f>
        <v/>
      </c>
      <c r="P981">
        <f>IF($O981&gt;=20,"Critical",IF($O981&gt;=15,"High",IF($O981&gt;=10,"Medium",IF($O981&gt;=5,"Low",IF($O981&gt;0,"Very Low","")))))</f>
        <v/>
      </c>
      <c r="S981" s="5" t="n"/>
      <c r="V981" s="5" t="n"/>
      <c r="W981" s="6" t="n"/>
      <c r="X981" s="6" t="n"/>
      <c r="Z981" s="5" t="n"/>
    </row>
    <row r="982">
      <c r="D982" s="5" t="n"/>
      <c r="E982" s="5" t="n"/>
      <c r="F982" s="5" t="n"/>
      <c r="I982">
        <f>VALUE(LEFT($G982,1))*VALUE(LEFT($H982,1))</f>
        <v/>
      </c>
      <c r="J982">
        <f>IF($I982&gt;=20,"Critical",IF($I982&gt;=15,"High",IF($I982&gt;=10,"Medium",IF($I982&gt;=5,"Low",IF($I982&gt;0,"Very Low","")))))</f>
        <v/>
      </c>
      <c r="K982" s="5" t="n"/>
      <c r="O982">
        <f>VALUE(LEFT($M982,1))*VALUE(LEFT($N982,1))</f>
        <v/>
      </c>
      <c r="P982">
        <f>IF($O982&gt;=20,"Critical",IF($O982&gt;=15,"High",IF($O982&gt;=10,"Medium",IF($O982&gt;=5,"Low",IF($O982&gt;0,"Very Low","")))))</f>
        <v/>
      </c>
      <c r="S982" s="5" t="n"/>
      <c r="V982" s="5" t="n"/>
      <c r="W982" s="6" t="n"/>
      <c r="X982" s="6" t="n"/>
      <c r="Z982" s="5" t="n"/>
    </row>
    <row r="983">
      <c r="D983" s="5" t="n"/>
      <c r="E983" s="5" t="n"/>
      <c r="F983" s="5" t="n"/>
      <c r="I983">
        <f>VALUE(LEFT($G983,1))*VALUE(LEFT($H983,1))</f>
        <v/>
      </c>
      <c r="J983">
        <f>IF($I983&gt;=20,"Critical",IF($I983&gt;=15,"High",IF($I983&gt;=10,"Medium",IF($I983&gt;=5,"Low",IF($I983&gt;0,"Very Low","")))))</f>
        <v/>
      </c>
      <c r="K983" s="5" t="n"/>
      <c r="O983">
        <f>VALUE(LEFT($M983,1))*VALUE(LEFT($N983,1))</f>
        <v/>
      </c>
      <c r="P983">
        <f>IF($O983&gt;=20,"Critical",IF($O983&gt;=15,"High",IF($O983&gt;=10,"Medium",IF($O983&gt;=5,"Low",IF($O983&gt;0,"Very Low","")))))</f>
        <v/>
      </c>
      <c r="S983" s="5" t="n"/>
      <c r="V983" s="5" t="n"/>
      <c r="W983" s="6" t="n"/>
      <c r="X983" s="6" t="n"/>
      <c r="Z983" s="5" t="n"/>
    </row>
    <row r="984">
      <c r="D984" s="5" t="n"/>
      <c r="E984" s="5" t="n"/>
      <c r="F984" s="5" t="n"/>
      <c r="I984">
        <f>VALUE(LEFT($G984,1))*VALUE(LEFT($H984,1))</f>
        <v/>
      </c>
      <c r="J984">
        <f>IF($I984&gt;=20,"Critical",IF($I984&gt;=15,"High",IF($I984&gt;=10,"Medium",IF($I984&gt;=5,"Low",IF($I984&gt;0,"Very Low","")))))</f>
        <v/>
      </c>
      <c r="K984" s="5" t="n"/>
      <c r="O984">
        <f>VALUE(LEFT($M984,1))*VALUE(LEFT($N984,1))</f>
        <v/>
      </c>
      <c r="P984">
        <f>IF($O984&gt;=20,"Critical",IF($O984&gt;=15,"High",IF($O984&gt;=10,"Medium",IF($O984&gt;=5,"Low",IF($O984&gt;0,"Very Low","")))))</f>
        <v/>
      </c>
      <c r="S984" s="5" t="n"/>
      <c r="V984" s="5" t="n"/>
      <c r="W984" s="6" t="n"/>
      <c r="X984" s="6" t="n"/>
      <c r="Z984" s="5" t="n"/>
    </row>
    <row r="985">
      <c r="D985" s="5" t="n"/>
      <c r="E985" s="5" t="n"/>
      <c r="F985" s="5" t="n"/>
      <c r="I985">
        <f>VALUE(LEFT($G985,1))*VALUE(LEFT($H985,1))</f>
        <v/>
      </c>
      <c r="J985">
        <f>IF($I985&gt;=20,"Critical",IF($I985&gt;=15,"High",IF($I985&gt;=10,"Medium",IF($I985&gt;=5,"Low",IF($I985&gt;0,"Very Low","")))))</f>
        <v/>
      </c>
      <c r="K985" s="5" t="n"/>
      <c r="O985">
        <f>VALUE(LEFT($M985,1))*VALUE(LEFT($N985,1))</f>
        <v/>
      </c>
      <c r="P985">
        <f>IF($O985&gt;=20,"Critical",IF($O985&gt;=15,"High",IF($O985&gt;=10,"Medium",IF($O985&gt;=5,"Low",IF($O985&gt;0,"Very Low","")))))</f>
        <v/>
      </c>
      <c r="S985" s="5" t="n"/>
      <c r="V985" s="5" t="n"/>
      <c r="W985" s="6" t="n"/>
      <c r="X985" s="6" t="n"/>
      <c r="Z985" s="5" t="n"/>
    </row>
    <row r="986">
      <c r="D986" s="5" t="n"/>
      <c r="E986" s="5" t="n"/>
      <c r="F986" s="5" t="n"/>
      <c r="I986">
        <f>VALUE(LEFT($G986,1))*VALUE(LEFT($H986,1))</f>
        <v/>
      </c>
      <c r="J986">
        <f>IF($I986&gt;=20,"Critical",IF($I986&gt;=15,"High",IF($I986&gt;=10,"Medium",IF($I986&gt;=5,"Low",IF($I986&gt;0,"Very Low","")))))</f>
        <v/>
      </c>
      <c r="K986" s="5" t="n"/>
      <c r="O986">
        <f>VALUE(LEFT($M986,1))*VALUE(LEFT($N986,1))</f>
        <v/>
      </c>
      <c r="P986">
        <f>IF($O986&gt;=20,"Critical",IF($O986&gt;=15,"High",IF($O986&gt;=10,"Medium",IF($O986&gt;=5,"Low",IF($O986&gt;0,"Very Low","")))))</f>
        <v/>
      </c>
      <c r="S986" s="5" t="n"/>
      <c r="V986" s="5" t="n"/>
      <c r="W986" s="6" t="n"/>
      <c r="X986" s="6" t="n"/>
      <c r="Z986" s="5" t="n"/>
    </row>
    <row r="987">
      <c r="D987" s="5" t="n"/>
      <c r="E987" s="5" t="n"/>
      <c r="F987" s="5" t="n"/>
      <c r="I987">
        <f>VALUE(LEFT($G987,1))*VALUE(LEFT($H987,1))</f>
        <v/>
      </c>
      <c r="J987">
        <f>IF($I987&gt;=20,"Critical",IF($I987&gt;=15,"High",IF($I987&gt;=10,"Medium",IF($I987&gt;=5,"Low",IF($I987&gt;0,"Very Low","")))))</f>
        <v/>
      </c>
      <c r="K987" s="5" t="n"/>
      <c r="O987">
        <f>VALUE(LEFT($M987,1))*VALUE(LEFT($N987,1))</f>
        <v/>
      </c>
      <c r="P987">
        <f>IF($O987&gt;=20,"Critical",IF($O987&gt;=15,"High",IF($O987&gt;=10,"Medium",IF($O987&gt;=5,"Low",IF($O987&gt;0,"Very Low","")))))</f>
        <v/>
      </c>
      <c r="S987" s="5" t="n"/>
      <c r="V987" s="5" t="n"/>
      <c r="W987" s="6" t="n"/>
      <c r="X987" s="6" t="n"/>
      <c r="Z987" s="5" t="n"/>
    </row>
    <row r="988">
      <c r="D988" s="5" t="n"/>
      <c r="E988" s="5" t="n"/>
      <c r="F988" s="5" t="n"/>
      <c r="I988">
        <f>VALUE(LEFT($G988,1))*VALUE(LEFT($H988,1))</f>
        <v/>
      </c>
      <c r="J988">
        <f>IF($I988&gt;=20,"Critical",IF($I988&gt;=15,"High",IF($I988&gt;=10,"Medium",IF($I988&gt;=5,"Low",IF($I988&gt;0,"Very Low","")))))</f>
        <v/>
      </c>
      <c r="K988" s="5" t="n"/>
      <c r="O988">
        <f>VALUE(LEFT($M988,1))*VALUE(LEFT($N988,1))</f>
        <v/>
      </c>
      <c r="P988">
        <f>IF($O988&gt;=20,"Critical",IF($O988&gt;=15,"High",IF($O988&gt;=10,"Medium",IF($O988&gt;=5,"Low",IF($O988&gt;0,"Very Low","")))))</f>
        <v/>
      </c>
      <c r="S988" s="5" t="n"/>
      <c r="V988" s="5" t="n"/>
      <c r="W988" s="6" t="n"/>
      <c r="X988" s="6" t="n"/>
      <c r="Z988" s="5" t="n"/>
    </row>
    <row r="989">
      <c r="D989" s="5" t="n"/>
      <c r="E989" s="5" t="n"/>
      <c r="F989" s="5" t="n"/>
      <c r="I989">
        <f>VALUE(LEFT($G989,1))*VALUE(LEFT($H989,1))</f>
        <v/>
      </c>
      <c r="J989">
        <f>IF($I989&gt;=20,"Critical",IF($I989&gt;=15,"High",IF($I989&gt;=10,"Medium",IF($I989&gt;=5,"Low",IF($I989&gt;0,"Very Low","")))))</f>
        <v/>
      </c>
      <c r="K989" s="5" t="n"/>
      <c r="O989">
        <f>VALUE(LEFT($M989,1))*VALUE(LEFT($N989,1))</f>
        <v/>
      </c>
      <c r="P989">
        <f>IF($O989&gt;=20,"Critical",IF($O989&gt;=15,"High",IF($O989&gt;=10,"Medium",IF($O989&gt;=5,"Low",IF($O989&gt;0,"Very Low","")))))</f>
        <v/>
      </c>
      <c r="S989" s="5" t="n"/>
      <c r="V989" s="5" t="n"/>
      <c r="W989" s="6" t="n"/>
      <c r="X989" s="6" t="n"/>
      <c r="Z989" s="5" t="n"/>
    </row>
    <row r="990">
      <c r="D990" s="5" t="n"/>
      <c r="E990" s="5" t="n"/>
      <c r="F990" s="5" t="n"/>
      <c r="I990">
        <f>VALUE(LEFT($G990,1))*VALUE(LEFT($H990,1))</f>
        <v/>
      </c>
      <c r="J990">
        <f>IF($I990&gt;=20,"Critical",IF($I990&gt;=15,"High",IF($I990&gt;=10,"Medium",IF($I990&gt;=5,"Low",IF($I990&gt;0,"Very Low","")))))</f>
        <v/>
      </c>
      <c r="K990" s="5" t="n"/>
      <c r="O990">
        <f>VALUE(LEFT($M990,1))*VALUE(LEFT($N990,1))</f>
        <v/>
      </c>
      <c r="P990">
        <f>IF($O990&gt;=20,"Critical",IF($O990&gt;=15,"High",IF($O990&gt;=10,"Medium",IF($O990&gt;=5,"Low",IF($O990&gt;0,"Very Low","")))))</f>
        <v/>
      </c>
      <c r="S990" s="5" t="n"/>
      <c r="V990" s="5" t="n"/>
      <c r="W990" s="6" t="n"/>
      <c r="X990" s="6" t="n"/>
      <c r="Z990" s="5" t="n"/>
    </row>
    <row r="991">
      <c r="D991" s="5" t="n"/>
      <c r="E991" s="5" t="n"/>
      <c r="F991" s="5" t="n"/>
      <c r="I991">
        <f>VALUE(LEFT($G991,1))*VALUE(LEFT($H991,1))</f>
        <v/>
      </c>
      <c r="J991">
        <f>IF($I991&gt;=20,"Critical",IF($I991&gt;=15,"High",IF($I991&gt;=10,"Medium",IF($I991&gt;=5,"Low",IF($I991&gt;0,"Very Low","")))))</f>
        <v/>
      </c>
      <c r="K991" s="5" t="n"/>
      <c r="O991">
        <f>VALUE(LEFT($M991,1))*VALUE(LEFT($N991,1))</f>
        <v/>
      </c>
      <c r="P991">
        <f>IF($O991&gt;=20,"Critical",IF($O991&gt;=15,"High",IF($O991&gt;=10,"Medium",IF($O991&gt;=5,"Low",IF($O991&gt;0,"Very Low","")))))</f>
        <v/>
      </c>
      <c r="S991" s="5" t="n"/>
      <c r="V991" s="5" t="n"/>
      <c r="W991" s="6" t="n"/>
      <c r="X991" s="6" t="n"/>
      <c r="Z991" s="5" t="n"/>
    </row>
    <row r="992">
      <c r="D992" s="5" t="n"/>
      <c r="E992" s="5" t="n"/>
      <c r="F992" s="5" t="n"/>
      <c r="I992">
        <f>VALUE(LEFT($G992,1))*VALUE(LEFT($H992,1))</f>
        <v/>
      </c>
      <c r="J992">
        <f>IF($I992&gt;=20,"Critical",IF($I992&gt;=15,"High",IF($I992&gt;=10,"Medium",IF($I992&gt;=5,"Low",IF($I992&gt;0,"Very Low","")))))</f>
        <v/>
      </c>
      <c r="K992" s="5" t="n"/>
      <c r="O992">
        <f>VALUE(LEFT($M992,1))*VALUE(LEFT($N992,1))</f>
        <v/>
      </c>
      <c r="P992">
        <f>IF($O992&gt;=20,"Critical",IF($O992&gt;=15,"High",IF($O992&gt;=10,"Medium",IF($O992&gt;=5,"Low",IF($O992&gt;0,"Very Low","")))))</f>
        <v/>
      </c>
      <c r="S992" s="5" t="n"/>
      <c r="V992" s="5" t="n"/>
      <c r="W992" s="6" t="n"/>
      <c r="X992" s="6" t="n"/>
      <c r="Z992" s="5" t="n"/>
    </row>
    <row r="993">
      <c r="D993" s="5" t="n"/>
      <c r="E993" s="5" t="n"/>
      <c r="F993" s="5" t="n"/>
      <c r="I993">
        <f>VALUE(LEFT($G993,1))*VALUE(LEFT($H993,1))</f>
        <v/>
      </c>
      <c r="J993">
        <f>IF($I993&gt;=20,"Critical",IF($I993&gt;=15,"High",IF($I993&gt;=10,"Medium",IF($I993&gt;=5,"Low",IF($I993&gt;0,"Very Low","")))))</f>
        <v/>
      </c>
      <c r="K993" s="5" t="n"/>
      <c r="O993">
        <f>VALUE(LEFT($M993,1))*VALUE(LEFT($N993,1))</f>
        <v/>
      </c>
      <c r="P993">
        <f>IF($O993&gt;=20,"Critical",IF($O993&gt;=15,"High",IF($O993&gt;=10,"Medium",IF($O993&gt;=5,"Low",IF($O993&gt;0,"Very Low","")))))</f>
        <v/>
      </c>
      <c r="S993" s="5" t="n"/>
      <c r="V993" s="5" t="n"/>
      <c r="W993" s="6" t="n"/>
      <c r="X993" s="6" t="n"/>
      <c r="Z993" s="5" t="n"/>
    </row>
    <row r="994">
      <c r="D994" s="5" t="n"/>
      <c r="E994" s="5" t="n"/>
      <c r="F994" s="5" t="n"/>
      <c r="I994">
        <f>VALUE(LEFT($G994,1))*VALUE(LEFT($H994,1))</f>
        <v/>
      </c>
      <c r="J994">
        <f>IF($I994&gt;=20,"Critical",IF($I994&gt;=15,"High",IF($I994&gt;=10,"Medium",IF($I994&gt;=5,"Low",IF($I994&gt;0,"Very Low","")))))</f>
        <v/>
      </c>
      <c r="K994" s="5" t="n"/>
      <c r="O994">
        <f>VALUE(LEFT($M994,1))*VALUE(LEFT($N994,1))</f>
        <v/>
      </c>
      <c r="P994">
        <f>IF($O994&gt;=20,"Critical",IF($O994&gt;=15,"High",IF($O994&gt;=10,"Medium",IF($O994&gt;=5,"Low",IF($O994&gt;0,"Very Low","")))))</f>
        <v/>
      </c>
      <c r="S994" s="5" t="n"/>
      <c r="V994" s="5" t="n"/>
      <c r="W994" s="6" t="n"/>
      <c r="X994" s="6" t="n"/>
      <c r="Z994" s="5" t="n"/>
    </row>
    <row r="995">
      <c r="D995" s="5" t="n"/>
      <c r="E995" s="5" t="n"/>
      <c r="F995" s="5" t="n"/>
      <c r="I995">
        <f>VALUE(LEFT($G995,1))*VALUE(LEFT($H995,1))</f>
        <v/>
      </c>
      <c r="J995">
        <f>IF($I995&gt;=20,"Critical",IF($I995&gt;=15,"High",IF($I995&gt;=10,"Medium",IF($I995&gt;=5,"Low",IF($I995&gt;0,"Very Low","")))))</f>
        <v/>
      </c>
      <c r="K995" s="5" t="n"/>
      <c r="O995">
        <f>VALUE(LEFT($M995,1))*VALUE(LEFT($N995,1))</f>
        <v/>
      </c>
      <c r="P995">
        <f>IF($O995&gt;=20,"Critical",IF($O995&gt;=15,"High",IF($O995&gt;=10,"Medium",IF($O995&gt;=5,"Low",IF($O995&gt;0,"Very Low","")))))</f>
        <v/>
      </c>
      <c r="S995" s="5" t="n"/>
      <c r="V995" s="5" t="n"/>
      <c r="W995" s="6" t="n"/>
      <c r="X995" s="6" t="n"/>
      <c r="Z995" s="5" t="n"/>
    </row>
    <row r="996">
      <c r="D996" s="5" t="n"/>
      <c r="E996" s="5" t="n"/>
      <c r="F996" s="5" t="n"/>
      <c r="I996">
        <f>VALUE(LEFT($G996,1))*VALUE(LEFT($H996,1))</f>
        <v/>
      </c>
      <c r="J996">
        <f>IF($I996&gt;=20,"Critical",IF($I996&gt;=15,"High",IF($I996&gt;=10,"Medium",IF($I996&gt;=5,"Low",IF($I996&gt;0,"Very Low","")))))</f>
        <v/>
      </c>
      <c r="K996" s="5" t="n"/>
      <c r="O996">
        <f>VALUE(LEFT($M996,1))*VALUE(LEFT($N996,1))</f>
        <v/>
      </c>
      <c r="P996">
        <f>IF($O996&gt;=20,"Critical",IF($O996&gt;=15,"High",IF($O996&gt;=10,"Medium",IF($O996&gt;=5,"Low",IF($O996&gt;0,"Very Low","")))))</f>
        <v/>
      </c>
      <c r="S996" s="5" t="n"/>
      <c r="V996" s="5" t="n"/>
      <c r="W996" s="6" t="n"/>
      <c r="X996" s="6" t="n"/>
      <c r="Z996" s="5" t="n"/>
    </row>
    <row r="997">
      <c r="D997" s="5" t="n"/>
      <c r="E997" s="5" t="n"/>
      <c r="F997" s="5" t="n"/>
      <c r="I997">
        <f>VALUE(LEFT($G997,1))*VALUE(LEFT($H997,1))</f>
        <v/>
      </c>
      <c r="J997">
        <f>IF($I997&gt;=20,"Critical",IF($I997&gt;=15,"High",IF($I997&gt;=10,"Medium",IF($I997&gt;=5,"Low",IF($I997&gt;0,"Very Low","")))))</f>
        <v/>
      </c>
      <c r="K997" s="5" t="n"/>
      <c r="O997">
        <f>VALUE(LEFT($M997,1))*VALUE(LEFT($N997,1))</f>
        <v/>
      </c>
      <c r="P997">
        <f>IF($O997&gt;=20,"Critical",IF($O997&gt;=15,"High",IF($O997&gt;=10,"Medium",IF($O997&gt;=5,"Low",IF($O997&gt;0,"Very Low","")))))</f>
        <v/>
      </c>
      <c r="S997" s="5" t="n"/>
      <c r="V997" s="5" t="n"/>
      <c r="W997" s="6" t="n"/>
      <c r="X997" s="6" t="n"/>
      <c r="Z997" s="5" t="n"/>
    </row>
    <row r="998">
      <c r="D998" s="5" t="n"/>
      <c r="E998" s="5" t="n"/>
      <c r="F998" s="5" t="n"/>
      <c r="I998">
        <f>VALUE(LEFT($G998,1))*VALUE(LEFT($H998,1))</f>
        <v/>
      </c>
      <c r="J998">
        <f>IF($I998&gt;=20,"Critical",IF($I998&gt;=15,"High",IF($I998&gt;=10,"Medium",IF($I998&gt;=5,"Low",IF($I998&gt;0,"Very Low","")))))</f>
        <v/>
      </c>
      <c r="K998" s="5" t="n"/>
      <c r="O998">
        <f>VALUE(LEFT($M998,1))*VALUE(LEFT($N998,1))</f>
        <v/>
      </c>
      <c r="P998">
        <f>IF($O998&gt;=20,"Critical",IF($O998&gt;=15,"High",IF($O998&gt;=10,"Medium",IF($O998&gt;=5,"Low",IF($O998&gt;0,"Very Low","")))))</f>
        <v/>
      </c>
      <c r="S998" s="5" t="n"/>
      <c r="V998" s="5" t="n"/>
      <c r="W998" s="6" t="n"/>
      <c r="X998" s="6" t="n"/>
      <c r="Z998" s="5" t="n"/>
    </row>
    <row r="999">
      <c r="D999" s="5" t="n"/>
      <c r="E999" s="5" t="n"/>
      <c r="F999" s="5" t="n"/>
      <c r="I999">
        <f>VALUE(LEFT($G999,1))*VALUE(LEFT($H999,1))</f>
        <v/>
      </c>
      <c r="J999">
        <f>IF($I999&gt;=20,"Critical",IF($I999&gt;=15,"High",IF($I999&gt;=10,"Medium",IF($I999&gt;=5,"Low",IF($I999&gt;0,"Very Low","")))))</f>
        <v/>
      </c>
      <c r="K999" s="5" t="n"/>
      <c r="O999">
        <f>VALUE(LEFT($M999,1))*VALUE(LEFT($N999,1))</f>
        <v/>
      </c>
      <c r="P999">
        <f>IF($O999&gt;=20,"Critical",IF($O999&gt;=15,"High",IF($O999&gt;=10,"Medium",IF($O999&gt;=5,"Low",IF($O999&gt;0,"Very Low","")))))</f>
        <v/>
      </c>
      <c r="S999" s="5" t="n"/>
      <c r="V999" s="5" t="n"/>
      <c r="W999" s="6" t="n"/>
      <c r="X999" s="6" t="n"/>
      <c r="Z999" s="5" t="n"/>
    </row>
    <row r="1000">
      <c r="D1000" s="5" t="n"/>
      <c r="E1000" s="5" t="n"/>
      <c r="F1000" s="5" t="n"/>
      <c r="I1000">
        <f>VALUE(LEFT($G1000,1))*VALUE(LEFT($H1000,1))</f>
        <v/>
      </c>
      <c r="J1000">
        <f>IF($I1000&gt;=20,"Critical",IF($I1000&gt;=15,"High",IF($I1000&gt;=10,"Medium",IF($I1000&gt;=5,"Low",IF($I1000&gt;0,"Very Low","")))))</f>
        <v/>
      </c>
      <c r="K1000" s="5" t="n"/>
      <c r="O1000">
        <f>VALUE(LEFT($M1000,1))*VALUE(LEFT($N1000,1))</f>
        <v/>
      </c>
      <c r="P1000">
        <f>IF($O1000&gt;=20,"Critical",IF($O1000&gt;=15,"High",IF($O1000&gt;=10,"Medium",IF($O1000&gt;=5,"Low",IF($O1000&gt;0,"Very Low","")))))</f>
        <v/>
      </c>
      <c r="S1000" s="5" t="n"/>
      <c r="V1000" s="5" t="n"/>
      <c r="W1000" s="6" t="n"/>
      <c r="X1000" s="6" t="n"/>
      <c r="Z1000" s="5" t="n"/>
    </row>
    <row r="1001">
      <c r="D1001" s="5" t="n"/>
      <c r="E1001" s="5" t="n"/>
      <c r="F1001" s="5" t="n"/>
      <c r="I1001">
        <f>VALUE(LEFT($G1001,1))*VALUE(LEFT($H1001,1))</f>
        <v/>
      </c>
      <c r="J1001">
        <f>IF($I1001&gt;=20,"Critical",IF($I1001&gt;=15,"High",IF($I1001&gt;=10,"Medium",IF($I1001&gt;=5,"Low",IF($I1001&gt;0,"Very Low","")))))</f>
        <v/>
      </c>
      <c r="K1001" s="5" t="n"/>
      <c r="O1001">
        <f>VALUE(LEFT($M1001,1))*VALUE(LEFT($N1001,1))</f>
        <v/>
      </c>
      <c r="P1001">
        <f>IF($O1001&gt;=20,"Critical",IF($O1001&gt;=15,"High",IF($O1001&gt;=10,"Medium",IF($O1001&gt;=5,"Low",IF($O1001&gt;0,"Very Low","")))))</f>
        <v/>
      </c>
      <c r="S1001" s="5" t="n"/>
      <c r="V1001" s="5" t="n"/>
      <c r="W1001" s="6" t="n"/>
      <c r="X1001" s="6" t="n"/>
      <c r="Z1001" s="5" t="n"/>
    </row>
    <row r="1002">
      <c r="A1002" t="inlineStr">
        <is>
          <t>RISK-001</t>
        </is>
      </c>
      <c r="B1002" t="inlineStr">
        <is>
          <t>Cybersecurity and Information Security</t>
        </is>
      </c>
      <c r="C1002" t="inlineStr">
        <is>
          <t>Ransomware Attack on Production Database</t>
        </is>
      </c>
      <c r="D1002" t="inlineStr">
        <is>
          <t>Ransomware malware deployed via phishing email or vulnerability exploit encrypts production database servers, making customer data and core application unavailable. Attackers demand payment for decryption keys.</t>
        </is>
      </c>
      <c r="E1002" t="inlineStr">
        <is>
          <t>External threat actors (cybercriminal groups), potentially insider enabling access</t>
        </is>
      </c>
      <c r="F1002" t="inlineStr">
        <is>
          <t>Unpatched server vulnerabilities; limited email filtering; insufficient endpoint protection; single factor authentication for some admin accounts; limited network segmentation; inadequate backup validation</t>
        </is>
      </c>
      <c r="G1002" t="inlineStr">
        <is>
          <t>4 - High</t>
        </is>
      </c>
      <c r="H1002" t="inlineStr">
        <is>
          <t>5 - Catastrophic</t>
        </is>
      </c>
      <c r="I1002" t="n">
        <v>20</v>
      </c>
      <c r="J1002" t="inlineStr">
        <is>
          <t>Critical</t>
        </is>
      </c>
      <c r="K1002" t="inlineStr">
        <is>
          <t>Email filtering and anti-phishing tools; Endpoint detection and response (EDR) on workstations; Regular vulnerability scanning; Daily backups with 30-day retention; Incident response plan; Security awareness training (quarterly); Network firewall and IDS</t>
        </is>
      </c>
      <c r="L1002" t="inlineStr">
        <is>
          <t>Partially Effective</t>
        </is>
      </c>
      <c r="M1002" t="inlineStr">
        <is>
          <t>3 - Medium</t>
        </is>
      </c>
      <c r="N1002" t="inlineStr">
        <is>
          <t>4 - Major</t>
        </is>
      </c>
      <c r="O1002" t="n">
        <v>12</v>
      </c>
      <c r="P1002" t="inlineStr">
        <is>
          <t>Medium</t>
        </is>
      </c>
      <c r="Q1002" t="inlineStr">
        <is>
          <t>Mitigate</t>
        </is>
      </c>
      <c r="R1002" t="inlineStr">
        <is>
          <t>Michael Rodriguez (CISO)</t>
        </is>
      </c>
      <c r="S1002" t="inlineStr">
        <is>
          <t>Implement mandatory MFA for all admin accounts; Deploy EDR on all servers; Implement network segmentation isolating critical databases; Conduct tabletop exercise for ransomware response; Implement offline/immutable backups; Enhance email security with sandboxing; Accelerate patching cycle to &lt;7 days</t>
        </is>
      </c>
      <c r="T1002" t="inlineStr">
        <is>
          <t>L: 2, I: 3 = Score 6</t>
        </is>
      </c>
      <c r="U1002" t="inlineStr">
        <is>
          <t>High</t>
        </is>
      </c>
      <c r="V1002" t="inlineStr">
        <is>
          <t>Failed login attempts; Phishing email click rate; Patching compliance %; EDR alert volume; Backup success rate; Mean time to patch</t>
        </is>
      </c>
      <c r="W1002" s="7" t="n">
        <v>45672</v>
      </c>
      <c r="X1002" s="7" t="n">
        <v>45762</v>
      </c>
      <c r="Y1002" t="inlineStr">
        <is>
          <t>Active</t>
        </is>
      </c>
      <c r="Z1002" t="inlineStr">
        <is>
          <t>Similar ransomware attacks affected 3 competitors in past 12 months. Board is monitoring progress quarterly. Cyber insurance renewed with $5M coverage.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Z1001"/>
  <conditionalFormatting sqref="I2:I1001">
    <cfRule type="cellIs" priority="1" operator="between" dxfId="0">
      <formula>20</formula>
      <formula>25</formula>
    </cfRule>
    <cfRule type="cellIs" priority="2" operator="between" dxfId="1">
      <formula>15</formula>
      <formula>19</formula>
    </cfRule>
    <cfRule type="cellIs" priority="3" operator="between" dxfId="2">
      <formula>10</formula>
      <formula>14</formula>
    </cfRule>
    <cfRule type="cellIs" priority="4" operator="between" dxfId="3">
      <formula>5</formula>
      <formula>9</formula>
    </cfRule>
    <cfRule type="cellIs" priority="5" operator="between" dxfId="4">
      <formula>1</formula>
      <formula>4</formula>
    </cfRule>
  </conditionalFormatting>
  <conditionalFormatting sqref="O2:O1001">
    <cfRule type="cellIs" priority="6" operator="between" dxfId="0">
      <formula>20</formula>
      <formula>25</formula>
    </cfRule>
    <cfRule type="cellIs" priority="7" operator="between" dxfId="1">
      <formula>15</formula>
      <formula>19</formula>
    </cfRule>
    <cfRule type="cellIs" priority="8" operator="between" dxfId="2">
      <formula>10</formula>
      <formula>14</formula>
    </cfRule>
    <cfRule type="cellIs" priority="9" operator="between" dxfId="3">
      <formula>5</formula>
      <formula>9</formula>
    </cfRule>
    <cfRule type="cellIs" priority="10" operator="between" dxfId="4">
      <formula>1</formula>
      <formula>4</formula>
    </cfRule>
  </conditionalFormatting>
  <conditionalFormatting sqref="J2:J1001">
    <cfRule type="expression" priority="11" dxfId="0">
      <formula>$J2="Critical"</formula>
    </cfRule>
    <cfRule type="expression" priority="12" dxfId="5">
      <formula>$J2="High"</formula>
    </cfRule>
    <cfRule type="expression" priority="13" dxfId="6">
      <formula>$J2="Medium"</formula>
    </cfRule>
    <cfRule type="expression" priority="14" dxfId="7">
      <formula>$J2="Low"</formula>
    </cfRule>
    <cfRule type="expression" priority="15" dxfId="4">
      <formula>$J2="Very Low"</formula>
    </cfRule>
  </conditionalFormatting>
  <conditionalFormatting sqref="P2:P1001">
    <cfRule type="expression" priority="16" dxfId="0">
      <formula>$P2="Critical"</formula>
    </cfRule>
    <cfRule type="expression" priority="17" dxfId="5">
      <formula>$P2="High"</formula>
    </cfRule>
    <cfRule type="expression" priority="18" dxfId="6">
      <formula>$P2="Medium"</formula>
    </cfRule>
    <cfRule type="expression" priority="19" dxfId="7">
      <formula>$P2="Low"</formula>
    </cfRule>
    <cfRule type="expression" priority="20" dxfId="4">
      <formula>$P2="Very Low"</formula>
    </cfRule>
  </conditionalFormatting>
  <conditionalFormatting sqref="L2:L1001">
    <cfRule type="expression" priority="21" dxfId="3">
      <formula>$L2="Effective"</formula>
    </cfRule>
    <cfRule type="expression" priority="22" dxfId="2">
      <formula>$L2="Partially Effective"</formula>
    </cfRule>
    <cfRule type="expression" priority="23" dxfId="1">
      <formula>$L2="Ineffective"</formula>
    </cfRule>
    <cfRule type="expression" priority="24" dxfId="8">
      <formula>$L2="None"</formula>
    </cfRule>
  </conditionalFormatting>
  <conditionalFormatting sqref="U2:U1001">
    <cfRule type="expression" priority="25" dxfId="0">
      <formula>$U2="Critical"</formula>
    </cfRule>
    <cfRule type="expression" priority="26" dxfId="5">
      <formula>$U2="High"</formula>
    </cfRule>
    <cfRule type="expression" priority="27" dxfId="6">
      <formula>$U2="Medium"</formula>
    </cfRule>
    <cfRule type="expression" priority="28" dxfId="9">
      <formula>$U2="Low"</formula>
    </cfRule>
  </conditionalFormatting>
  <dataValidations count="10">
    <dataValidation sqref="B2:B1001" showErrorMessage="1" showDropDown="1" showInputMessage="1" allowBlank="1" type="list">
      <formula1>=Risk_Category_List</formula1>
    </dataValidation>
    <dataValidation sqref="G2:G1001" showErrorMessage="1" showDropDown="1" showInputMessage="1" allowBlank="1" type="list">
      <formula1>=Likelihood_Scale</formula1>
    </dataValidation>
    <dataValidation sqref="H2:H1001" showErrorMessage="1" showDropDown="1" showInputMessage="1" allowBlank="1" type="list">
      <formula1>=Impact_Scale</formula1>
    </dataValidation>
    <dataValidation sqref="L2:L1001" showErrorMessage="1" showDropDown="1" showInputMessage="1" allowBlank="1" type="list">
      <formula1>=Control_Effectiveness_List</formula1>
    </dataValidation>
    <dataValidation sqref="M2:M1001" showErrorMessage="1" showDropDown="1" showInputMessage="1" allowBlank="1" type="list">
      <formula1>=Likelihood_Scale</formula1>
    </dataValidation>
    <dataValidation sqref="N2:N1001" showErrorMessage="1" showDropDown="1" showInputMessage="1" allowBlank="1" type="list">
      <formula1>=Impact_Scale</formula1>
    </dataValidation>
    <dataValidation sqref="Q2:Q1001" showErrorMessage="1" showDropDown="1" showInputMessage="1" allowBlank="1" type="list">
      <formula1>=Risk_Response_List</formula1>
    </dataValidation>
    <dataValidation sqref="T2:T1001" showErrorMessage="1" showDropDown="1" showInputMessage="1" allowBlank="1" type="list">
      <formula1>=Target_Risk_List</formula1>
    </dataValidation>
    <dataValidation sqref="U2:U1001" showErrorMessage="1" showDropDown="1" showInputMessage="1" allowBlank="1" type="list">
      <formula1>=Mitigation_Priority_List</formula1>
    </dataValidation>
    <dataValidation sqref="Y2:Y1001" showErrorMessage="1" showDropDown="1" showInputMessage="1" allowBlank="1" type="list">
      <formula1>=Status_List_Risks</formula1>
    </dataValidation>
  </dataValidations>
  <pageMargins left="0.25" right="0.25" top="0.4" bottom="0.4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0" customWidth="1" min="4" max="4"/>
    <col width="20" customWidth="1" min="5" max="5"/>
    <col width="20" customWidth="1" min="6" max="6"/>
    <col width="10" customWidth="1" min="7" max="7"/>
    <col width="12" customWidth="1" min="8" max="8"/>
    <col width="15" customWidth="1" min="9" max="9"/>
    <col width="10" customWidth="1" min="10" max="10"/>
    <col width="12" customWidth="1" min="11" max="11"/>
    <col width="12" customWidth="1" min="12" max="12"/>
    <col width="30" customWidth="1" min="13" max="13"/>
    <col width="40" customWidth="1" min="14" max="14"/>
    <col width="40" customWidth="1" min="15" max="15"/>
  </cols>
  <sheetData>
    <row r="1" ht="28" customHeight="1">
      <c r="A1" s="1" t="inlineStr">
        <is>
          <t>Action ID</t>
        </is>
      </c>
      <c r="B1" s="1" t="inlineStr">
        <is>
          <t>Related Risk ID</t>
        </is>
      </c>
      <c r="C1" s="1" t="inlineStr">
        <is>
          <t>Risk Name</t>
        </is>
      </c>
      <c r="D1" s="1" t="inlineStr">
        <is>
          <t>Mitigation Action</t>
        </is>
      </c>
      <c r="E1" s="1" t="inlineStr">
        <is>
          <t>Action Type</t>
        </is>
      </c>
      <c r="F1" s="1" t="inlineStr">
        <is>
          <t>Owner</t>
        </is>
      </c>
      <c r="G1" s="1" t="inlineStr">
        <is>
          <t>Priority</t>
        </is>
      </c>
      <c r="H1" s="1" t="inlineStr">
        <is>
          <t>Target Completion Date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Actual Completion Date</t>
        </is>
      </c>
      <c r="L1" s="1" t="inlineStr">
        <is>
          <t>Cost/Budget</t>
        </is>
      </c>
      <c r="M1" s="1" t="inlineStr">
        <is>
          <t>Expected Risk Reduction</t>
        </is>
      </c>
      <c r="N1" s="1" t="inlineStr">
        <is>
          <t>Effectiveness Validation</t>
        </is>
      </c>
      <c r="O1" s="1" t="inlineStr">
        <is>
          <t>Notes</t>
        </is>
      </c>
    </row>
    <row r="2">
      <c r="D2" s="5" t="n"/>
      <c r="H2" s="6" t="n"/>
      <c r="J2" s="8" t="n"/>
      <c r="K2" s="6" t="n"/>
      <c r="L2" s="9" t="n"/>
      <c r="M2" s="5" t="n"/>
      <c r="N2" s="5" t="n"/>
      <c r="O2" s="5" t="n"/>
    </row>
    <row r="3">
      <c r="D3" s="5" t="n"/>
      <c r="H3" s="6" t="n"/>
      <c r="J3" s="8" t="n"/>
      <c r="K3" s="6" t="n"/>
      <c r="L3" s="9" t="n"/>
      <c r="M3" s="5" t="n"/>
      <c r="N3" s="5" t="n"/>
      <c r="O3" s="5" t="n"/>
    </row>
    <row r="4">
      <c r="D4" s="5" t="n"/>
      <c r="H4" s="6" t="n"/>
      <c r="J4" s="8" t="n"/>
      <c r="K4" s="6" t="n"/>
      <c r="L4" s="9" t="n"/>
      <c r="M4" s="5" t="n"/>
      <c r="N4" s="5" t="n"/>
      <c r="O4" s="5" t="n"/>
    </row>
    <row r="5">
      <c r="D5" s="5" t="n"/>
      <c r="H5" s="6" t="n"/>
      <c r="J5" s="8" t="n"/>
      <c r="K5" s="6" t="n"/>
      <c r="L5" s="9" t="n"/>
      <c r="M5" s="5" t="n"/>
      <c r="N5" s="5" t="n"/>
      <c r="O5" s="5" t="n"/>
    </row>
    <row r="6">
      <c r="D6" s="5" t="n"/>
      <c r="H6" s="6" t="n"/>
      <c r="J6" s="8" t="n"/>
      <c r="K6" s="6" t="n"/>
      <c r="L6" s="9" t="n"/>
      <c r="M6" s="5" t="n"/>
      <c r="N6" s="5" t="n"/>
      <c r="O6" s="5" t="n"/>
    </row>
    <row r="7">
      <c r="D7" s="5" t="n"/>
      <c r="H7" s="6" t="n"/>
      <c r="J7" s="8" t="n"/>
      <c r="K7" s="6" t="n"/>
      <c r="L7" s="9" t="n"/>
      <c r="M7" s="5" t="n"/>
      <c r="N7" s="5" t="n"/>
      <c r="O7" s="5" t="n"/>
    </row>
    <row r="8">
      <c r="D8" s="5" t="n"/>
      <c r="H8" s="6" t="n"/>
      <c r="J8" s="8" t="n"/>
      <c r="K8" s="6" t="n"/>
      <c r="L8" s="9" t="n"/>
      <c r="M8" s="5" t="n"/>
      <c r="N8" s="5" t="n"/>
      <c r="O8" s="5" t="n"/>
    </row>
    <row r="9">
      <c r="D9" s="5" t="n"/>
      <c r="H9" s="6" t="n"/>
      <c r="J9" s="8" t="n"/>
      <c r="K9" s="6" t="n"/>
      <c r="L9" s="9" t="n"/>
      <c r="M9" s="5" t="n"/>
      <c r="N9" s="5" t="n"/>
      <c r="O9" s="5" t="n"/>
    </row>
    <row r="10">
      <c r="D10" s="5" t="n"/>
      <c r="H10" s="6" t="n"/>
      <c r="J10" s="8" t="n"/>
      <c r="K10" s="6" t="n"/>
      <c r="L10" s="9" t="n"/>
      <c r="M10" s="5" t="n"/>
      <c r="N10" s="5" t="n"/>
      <c r="O10" s="5" t="n"/>
    </row>
    <row r="11">
      <c r="D11" s="5" t="n"/>
      <c r="H11" s="6" t="n"/>
      <c r="J11" s="8" t="n"/>
      <c r="K11" s="6" t="n"/>
      <c r="L11" s="9" t="n"/>
      <c r="M11" s="5" t="n"/>
      <c r="N11" s="5" t="n"/>
      <c r="O11" s="5" t="n"/>
    </row>
    <row r="12">
      <c r="D12" s="5" t="n"/>
      <c r="H12" s="6" t="n"/>
      <c r="J12" s="8" t="n"/>
      <c r="K12" s="6" t="n"/>
      <c r="L12" s="9" t="n"/>
      <c r="M12" s="5" t="n"/>
      <c r="N12" s="5" t="n"/>
      <c r="O12" s="5" t="n"/>
    </row>
    <row r="13">
      <c r="D13" s="5" t="n"/>
      <c r="H13" s="6" t="n"/>
      <c r="J13" s="8" t="n"/>
      <c r="K13" s="6" t="n"/>
      <c r="L13" s="9" t="n"/>
      <c r="M13" s="5" t="n"/>
      <c r="N13" s="5" t="n"/>
      <c r="O13" s="5" t="n"/>
    </row>
    <row r="14">
      <c r="D14" s="5" t="n"/>
      <c r="H14" s="6" t="n"/>
      <c r="J14" s="8" t="n"/>
      <c r="K14" s="6" t="n"/>
      <c r="L14" s="9" t="n"/>
      <c r="M14" s="5" t="n"/>
      <c r="N14" s="5" t="n"/>
      <c r="O14" s="5" t="n"/>
    </row>
    <row r="15">
      <c r="D15" s="5" t="n"/>
      <c r="H15" s="6" t="n"/>
      <c r="J15" s="8" t="n"/>
      <c r="K15" s="6" t="n"/>
      <c r="L15" s="9" t="n"/>
      <c r="M15" s="5" t="n"/>
      <c r="N15" s="5" t="n"/>
      <c r="O15" s="5" t="n"/>
    </row>
    <row r="16">
      <c r="D16" s="5" t="n"/>
      <c r="H16" s="6" t="n"/>
      <c r="J16" s="8" t="n"/>
      <c r="K16" s="6" t="n"/>
      <c r="L16" s="9" t="n"/>
      <c r="M16" s="5" t="n"/>
      <c r="N16" s="5" t="n"/>
      <c r="O16" s="5" t="n"/>
    </row>
    <row r="17">
      <c r="D17" s="5" t="n"/>
      <c r="H17" s="6" t="n"/>
      <c r="J17" s="8" t="n"/>
      <c r="K17" s="6" t="n"/>
      <c r="L17" s="9" t="n"/>
      <c r="M17" s="5" t="n"/>
      <c r="N17" s="5" t="n"/>
      <c r="O17" s="5" t="n"/>
    </row>
    <row r="18">
      <c r="D18" s="5" t="n"/>
      <c r="H18" s="6" t="n"/>
      <c r="J18" s="8" t="n"/>
      <c r="K18" s="6" t="n"/>
      <c r="L18" s="9" t="n"/>
      <c r="M18" s="5" t="n"/>
      <c r="N18" s="5" t="n"/>
      <c r="O18" s="5" t="n"/>
    </row>
    <row r="19">
      <c r="D19" s="5" t="n"/>
      <c r="H19" s="6" t="n"/>
      <c r="J19" s="8" t="n"/>
      <c r="K19" s="6" t="n"/>
      <c r="L19" s="9" t="n"/>
      <c r="M19" s="5" t="n"/>
      <c r="N19" s="5" t="n"/>
      <c r="O19" s="5" t="n"/>
    </row>
    <row r="20">
      <c r="D20" s="5" t="n"/>
      <c r="H20" s="6" t="n"/>
      <c r="J20" s="8" t="n"/>
      <c r="K20" s="6" t="n"/>
      <c r="L20" s="9" t="n"/>
      <c r="M20" s="5" t="n"/>
      <c r="N20" s="5" t="n"/>
      <c r="O20" s="5" t="n"/>
    </row>
    <row r="21">
      <c r="D21" s="5" t="n"/>
      <c r="H21" s="6" t="n"/>
      <c r="J21" s="8" t="n"/>
      <c r="K21" s="6" t="n"/>
      <c r="L21" s="9" t="n"/>
      <c r="M21" s="5" t="n"/>
      <c r="N21" s="5" t="n"/>
      <c r="O21" s="5" t="n"/>
    </row>
    <row r="22">
      <c r="D22" s="5" t="n"/>
      <c r="H22" s="6" t="n"/>
      <c r="J22" s="8" t="n"/>
      <c r="K22" s="6" t="n"/>
      <c r="L22" s="9" t="n"/>
      <c r="M22" s="5" t="n"/>
      <c r="N22" s="5" t="n"/>
      <c r="O22" s="5" t="n"/>
    </row>
    <row r="23">
      <c r="D23" s="5" t="n"/>
      <c r="H23" s="6" t="n"/>
      <c r="J23" s="8" t="n"/>
      <c r="K23" s="6" t="n"/>
      <c r="L23" s="9" t="n"/>
      <c r="M23" s="5" t="n"/>
      <c r="N23" s="5" t="n"/>
      <c r="O23" s="5" t="n"/>
    </row>
    <row r="24">
      <c r="D24" s="5" t="n"/>
      <c r="H24" s="6" t="n"/>
      <c r="J24" s="8" t="n"/>
      <c r="K24" s="6" t="n"/>
      <c r="L24" s="9" t="n"/>
      <c r="M24" s="5" t="n"/>
      <c r="N24" s="5" t="n"/>
      <c r="O24" s="5" t="n"/>
    </row>
    <row r="25">
      <c r="D25" s="5" t="n"/>
      <c r="H25" s="6" t="n"/>
      <c r="J25" s="8" t="n"/>
      <c r="K25" s="6" t="n"/>
      <c r="L25" s="9" t="n"/>
      <c r="M25" s="5" t="n"/>
      <c r="N25" s="5" t="n"/>
      <c r="O25" s="5" t="n"/>
    </row>
    <row r="26">
      <c r="D26" s="5" t="n"/>
      <c r="H26" s="6" t="n"/>
      <c r="J26" s="8" t="n"/>
      <c r="K26" s="6" t="n"/>
      <c r="L26" s="9" t="n"/>
      <c r="M26" s="5" t="n"/>
      <c r="N26" s="5" t="n"/>
      <c r="O26" s="5" t="n"/>
    </row>
    <row r="27">
      <c r="D27" s="5" t="n"/>
      <c r="H27" s="6" t="n"/>
      <c r="J27" s="8" t="n"/>
      <c r="K27" s="6" t="n"/>
      <c r="L27" s="9" t="n"/>
      <c r="M27" s="5" t="n"/>
      <c r="N27" s="5" t="n"/>
      <c r="O27" s="5" t="n"/>
    </row>
    <row r="28">
      <c r="D28" s="5" t="n"/>
      <c r="H28" s="6" t="n"/>
      <c r="J28" s="8" t="n"/>
      <c r="K28" s="6" t="n"/>
      <c r="L28" s="9" t="n"/>
      <c r="M28" s="5" t="n"/>
      <c r="N28" s="5" t="n"/>
      <c r="O28" s="5" t="n"/>
    </row>
    <row r="29">
      <c r="D29" s="5" t="n"/>
      <c r="H29" s="6" t="n"/>
      <c r="J29" s="8" t="n"/>
      <c r="K29" s="6" t="n"/>
      <c r="L29" s="9" t="n"/>
      <c r="M29" s="5" t="n"/>
      <c r="N29" s="5" t="n"/>
      <c r="O29" s="5" t="n"/>
    </row>
    <row r="30">
      <c r="D30" s="5" t="n"/>
      <c r="H30" s="6" t="n"/>
      <c r="J30" s="8" t="n"/>
      <c r="K30" s="6" t="n"/>
      <c r="L30" s="9" t="n"/>
      <c r="M30" s="5" t="n"/>
      <c r="N30" s="5" t="n"/>
      <c r="O30" s="5" t="n"/>
    </row>
    <row r="31">
      <c r="D31" s="5" t="n"/>
      <c r="H31" s="6" t="n"/>
      <c r="J31" s="8" t="n"/>
      <c r="K31" s="6" t="n"/>
      <c r="L31" s="9" t="n"/>
      <c r="M31" s="5" t="n"/>
      <c r="N31" s="5" t="n"/>
      <c r="O31" s="5" t="n"/>
    </row>
    <row r="32">
      <c r="D32" s="5" t="n"/>
      <c r="H32" s="6" t="n"/>
      <c r="J32" s="8" t="n"/>
      <c r="K32" s="6" t="n"/>
      <c r="L32" s="9" t="n"/>
      <c r="M32" s="5" t="n"/>
      <c r="N32" s="5" t="n"/>
      <c r="O32" s="5" t="n"/>
    </row>
    <row r="33">
      <c r="D33" s="5" t="n"/>
      <c r="H33" s="6" t="n"/>
      <c r="J33" s="8" t="n"/>
      <c r="K33" s="6" t="n"/>
      <c r="L33" s="9" t="n"/>
      <c r="M33" s="5" t="n"/>
      <c r="N33" s="5" t="n"/>
      <c r="O33" s="5" t="n"/>
    </row>
    <row r="34">
      <c r="D34" s="5" t="n"/>
      <c r="H34" s="6" t="n"/>
      <c r="J34" s="8" t="n"/>
      <c r="K34" s="6" t="n"/>
      <c r="L34" s="9" t="n"/>
      <c r="M34" s="5" t="n"/>
      <c r="N34" s="5" t="n"/>
      <c r="O34" s="5" t="n"/>
    </row>
    <row r="35">
      <c r="D35" s="5" t="n"/>
      <c r="H35" s="6" t="n"/>
      <c r="J35" s="8" t="n"/>
      <c r="K35" s="6" t="n"/>
      <c r="L35" s="9" t="n"/>
      <c r="M35" s="5" t="n"/>
      <c r="N35" s="5" t="n"/>
      <c r="O35" s="5" t="n"/>
    </row>
    <row r="36">
      <c r="D36" s="5" t="n"/>
      <c r="H36" s="6" t="n"/>
      <c r="J36" s="8" t="n"/>
      <c r="K36" s="6" t="n"/>
      <c r="L36" s="9" t="n"/>
      <c r="M36" s="5" t="n"/>
      <c r="N36" s="5" t="n"/>
      <c r="O36" s="5" t="n"/>
    </row>
    <row r="37">
      <c r="D37" s="5" t="n"/>
      <c r="H37" s="6" t="n"/>
      <c r="J37" s="8" t="n"/>
      <c r="K37" s="6" t="n"/>
      <c r="L37" s="9" t="n"/>
      <c r="M37" s="5" t="n"/>
      <c r="N37" s="5" t="n"/>
      <c r="O37" s="5" t="n"/>
    </row>
    <row r="38">
      <c r="D38" s="5" t="n"/>
      <c r="H38" s="6" t="n"/>
      <c r="J38" s="8" t="n"/>
      <c r="K38" s="6" t="n"/>
      <c r="L38" s="9" t="n"/>
      <c r="M38" s="5" t="n"/>
      <c r="N38" s="5" t="n"/>
      <c r="O38" s="5" t="n"/>
    </row>
    <row r="39">
      <c r="D39" s="5" t="n"/>
      <c r="H39" s="6" t="n"/>
      <c r="J39" s="8" t="n"/>
      <c r="K39" s="6" t="n"/>
      <c r="L39" s="9" t="n"/>
      <c r="M39" s="5" t="n"/>
      <c r="N39" s="5" t="n"/>
      <c r="O39" s="5" t="n"/>
    </row>
    <row r="40">
      <c r="D40" s="5" t="n"/>
      <c r="H40" s="6" t="n"/>
      <c r="J40" s="8" t="n"/>
      <c r="K40" s="6" t="n"/>
      <c r="L40" s="9" t="n"/>
      <c r="M40" s="5" t="n"/>
      <c r="N40" s="5" t="n"/>
      <c r="O40" s="5" t="n"/>
    </row>
    <row r="41">
      <c r="D41" s="5" t="n"/>
      <c r="H41" s="6" t="n"/>
      <c r="J41" s="8" t="n"/>
      <c r="K41" s="6" t="n"/>
      <c r="L41" s="9" t="n"/>
      <c r="M41" s="5" t="n"/>
      <c r="N41" s="5" t="n"/>
      <c r="O41" s="5" t="n"/>
    </row>
    <row r="42">
      <c r="D42" s="5" t="n"/>
      <c r="H42" s="6" t="n"/>
      <c r="J42" s="8" t="n"/>
      <c r="K42" s="6" t="n"/>
      <c r="L42" s="9" t="n"/>
      <c r="M42" s="5" t="n"/>
      <c r="N42" s="5" t="n"/>
      <c r="O42" s="5" t="n"/>
    </row>
    <row r="43">
      <c r="D43" s="5" t="n"/>
      <c r="H43" s="6" t="n"/>
      <c r="J43" s="8" t="n"/>
      <c r="K43" s="6" t="n"/>
      <c r="L43" s="9" t="n"/>
      <c r="M43" s="5" t="n"/>
      <c r="N43" s="5" t="n"/>
      <c r="O43" s="5" t="n"/>
    </row>
    <row r="44">
      <c r="D44" s="5" t="n"/>
      <c r="H44" s="6" t="n"/>
      <c r="J44" s="8" t="n"/>
      <c r="K44" s="6" t="n"/>
      <c r="L44" s="9" t="n"/>
      <c r="M44" s="5" t="n"/>
      <c r="N44" s="5" t="n"/>
      <c r="O44" s="5" t="n"/>
    </row>
    <row r="45">
      <c r="D45" s="5" t="n"/>
      <c r="H45" s="6" t="n"/>
      <c r="J45" s="8" t="n"/>
      <c r="K45" s="6" t="n"/>
      <c r="L45" s="9" t="n"/>
      <c r="M45" s="5" t="n"/>
      <c r="N45" s="5" t="n"/>
      <c r="O45" s="5" t="n"/>
    </row>
    <row r="46">
      <c r="D46" s="5" t="n"/>
      <c r="H46" s="6" t="n"/>
      <c r="J46" s="8" t="n"/>
      <c r="K46" s="6" t="n"/>
      <c r="L46" s="9" t="n"/>
      <c r="M46" s="5" t="n"/>
      <c r="N46" s="5" t="n"/>
      <c r="O46" s="5" t="n"/>
    </row>
    <row r="47">
      <c r="D47" s="5" t="n"/>
      <c r="H47" s="6" t="n"/>
      <c r="J47" s="8" t="n"/>
      <c r="K47" s="6" t="n"/>
      <c r="L47" s="9" t="n"/>
      <c r="M47" s="5" t="n"/>
      <c r="N47" s="5" t="n"/>
      <c r="O47" s="5" t="n"/>
    </row>
    <row r="48">
      <c r="D48" s="5" t="n"/>
      <c r="H48" s="6" t="n"/>
      <c r="J48" s="8" t="n"/>
      <c r="K48" s="6" t="n"/>
      <c r="L48" s="9" t="n"/>
      <c r="M48" s="5" t="n"/>
      <c r="N48" s="5" t="n"/>
      <c r="O48" s="5" t="n"/>
    </row>
    <row r="49">
      <c r="D49" s="5" t="n"/>
      <c r="H49" s="6" t="n"/>
      <c r="J49" s="8" t="n"/>
      <c r="K49" s="6" t="n"/>
      <c r="L49" s="9" t="n"/>
      <c r="M49" s="5" t="n"/>
      <c r="N49" s="5" t="n"/>
      <c r="O49" s="5" t="n"/>
    </row>
    <row r="50">
      <c r="D50" s="5" t="n"/>
      <c r="H50" s="6" t="n"/>
      <c r="J50" s="8" t="n"/>
      <c r="K50" s="6" t="n"/>
      <c r="L50" s="9" t="n"/>
      <c r="M50" s="5" t="n"/>
      <c r="N50" s="5" t="n"/>
      <c r="O50" s="5" t="n"/>
    </row>
    <row r="51">
      <c r="D51" s="5" t="n"/>
      <c r="H51" s="6" t="n"/>
      <c r="J51" s="8" t="n"/>
      <c r="K51" s="6" t="n"/>
      <c r="L51" s="9" t="n"/>
      <c r="M51" s="5" t="n"/>
      <c r="N51" s="5" t="n"/>
      <c r="O51" s="5" t="n"/>
    </row>
    <row r="52">
      <c r="D52" s="5" t="n"/>
      <c r="H52" s="6" t="n"/>
      <c r="J52" s="8" t="n"/>
      <c r="K52" s="6" t="n"/>
      <c r="L52" s="9" t="n"/>
      <c r="M52" s="5" t="n"/>
      <c r="N52" s="5" t="n"/>
      <c r="O52" s="5" t="n"/>
    </row>
    <row r="53">
      <c r="D53" s="5" t="n"/>
      <c r="H53" s="6" t="n"/>
      <c r="J53" s="8" t="n"/>
      <c r="K53" s="6" t="n"/>
      <c r="L53" s="9" t="n"/>
      <c r="M53" s="5" t="n"/>
      <c r="N53" s="5" t="n"/>
      <c r="O53" s="5" t="n"/>
    </row>
    <row r="54">
      <c r="D54" s="5" t="n"/>
      <c r="H54" s="6" t="n"/>
      <c r="J54" s="8" t="n"/>
      <c r="K54" s="6" t="n"/>
      <c r="L54" s="9" t="n"/>
      <c r="M54" s="5" t="n"/>
      <c r="N54" s="5" t="n"/>
      <c r="O54" s="5" t="n"/>
    </row>
    <row r="55">
      <c r="D55" s="5" t="n"/>
      <c r="H55" s="6" t="n"/>
      <c r="J55" s="8" t="n"/>
      <c r="K55" s="6" t="n"/>
      <c r="L55" s="9" t="n"/>
      <c r="M55" s="5" t="n"/>
      <c r="N55" s="5" t="n"/>
      <c r="O55" s="5" t="n"/>
    </row>
    <row r="56">
      <c r="D56" s="5" t="n"/>
      <c r="H56" s="6" t="n"/>
      <c r="J56" s="8" t="n"/>
      <c r="K56" s="6" t="n"/>
      <c r="L56" s="9" t="n"/>
      <c r="M56" s="5" t="n"/>
      <c r="N56" s="5" t="n"/>
      <c r="O56" s="5" t="n"/>
    </row>
    <row r="57">
      <c r="D57" s="5" t="n"/>
      <c r="H57" s="6" t="n"/>
      <c r="J57" s="8" t="n"/>
      <c r="K57" s="6" t="n"/>
      <c r="L57" s="9" t="n"/>
      <c r="M57" s="5" t="n"/>
      <c r="N57" s="5" t="n"/>
      <c r="O57" s="5" t="n"/>
    </row>
    <row r="58">
      <c r="D58" s="5" t="n"/>
      <c r="H58" s="6" t="n"/>
      <c r="J58" s="8" t="n"/>
      <c r="K58" s="6" t="n"/>
      <c r="L58" s="9" t="n"/>
      <c r="M58" s="5" t="n"/>
      <c r="N58" s="5" t="n"/>
      <c r="O58" s="5" t="n"/>
    </row>
    <row r="59">
      <c r="D59" s="5" t="n"/>
      <c r="H59" s="6" t="n"/>
      <c r="J59" s="8" t="n"/>
      <c r="K59" s="6" t="n"/>
      <c r="L59" s="9" t="n"/>
      <c r="M59" s="5" t="n"/>
      <c r="N59" s="5" t="n"/>
      <c r="O59" s="5" t="n"/>
    </row>
    <row r="60">
      <c r="D60" s="5" t="n"/>
      <c r="H60" s="6" t="n"/>
      <c r="J60" s="8" t="n"/>
      <c r="K60" s="6" t="n"/>
      <c r="L60" s="9" t="n"/>
      <c r="M60" s="5" t="n"/>
      <c r="N60" s="5" t="n"/>
      <c r="O60" s="5" t="n"/>
    </row>
    <row r="61">
      <c r="D61" s="5" t="n"/>
      <c r="H61" s="6" t="n"/>
      <c r="J61" s="8" t="n"/>
      <c r="K61" s="6" t="n"/>
      <c r="L61" s="9" t="n"/>
      <c r="M61" s="5" t="n"/>
      <c r="N61" s="5" t="n"/>
      <c r="O61" s="5" t="n"/>
    </row>
    <row r="62">
      <c r="D62" s="5" t="n"/>
      <c r="H62" s="6" t="n"/>
      <c r="J62" s="8" t="n"/>
      <c r="K62" s="6" t="n"/>
      <c r="L62" s="9" t="n"/>
      <c r="M62" s="5" t="n"/>
      <c r="N62" s="5" t="n"/>
      <c r="O62" s="5" t="n"/>
    </row>
    <row r="63">
      <c r="D63" s="5" t="n"/>
      <c r="H63" s="6" t="n"/>
      <c r="J63" s="8" t="n"/>
      <c r="K63" s="6" t="n"/>
      <c r="L63" s="9" t="n"/>
      <c r="M63" s="5" t="n"/>
      <c r="N63" s="5" t="n"/>
      <c r="O63" s="5" t="n"/>
    </row>
    <row r="64">
      <c r="D64" s="5" t="n"/>
      <c r="H64" s="6" t="n"/>
      <c r="J64" s="8" t="n"/>
      <c r="K64" s="6" t="n"/>
      <c r="L64" s="9" t="n"/>
      <c r="M64" s="5" t="n"/>
      <c r="N64" s="5" t="n"/>
      <c r="O64" s="5" t="n"/>
    </row>
    <row r="65">
      <c r="D65" s="5" t="n"/>
      <c r="H65" s="6" t="n"/>
      <c r="J65" s="8" t="n"/>
      <c r="K65" s="6" t="n"/>
      <c r="L65" s="9" t="n"/>
      <c r="M65" s="5" t="n"/>
      <c r="N65" s="5" t="n"/>
      <c r="O65" s="5" t="n"/>
    </row>
    <row r="66">
      <c r="D66" s="5" t="n"/>
      <c r="H66" s="6" t="n"/>
      <c r="J66" s="8" t="n"/>
      <c r="K66" s="6" t="n"/>
      <c r="L66" s="9" t="n"/>
      <c r="M66" s="5" t="n"/>
      <c r="N66" s="5" t="n"/>
      <c r="O66" s="5" t="n"/>
    </row>
    <row r="67">
      <c r="D67" s="5" t="n"/>
      <c r="H67" s="6" t="n"/>
      <c r="J67" s="8" t="n"/>
      <c r="K67" s="6" t="n"/>
      <c r="L67" s="9" t="n"/>
      <c r="M67" s="5" t="n"/>
      <c r="N67" s="5" t="n"/>
      <c r="O67" s="5" t="n"/>
    </row>
    <row r="68">
      <c r="D68" s="5" t="n"/>
      <c r="H68" s="6" t="n"/>
      <c r="J68" s="8" t="n"/>
      <c r="K68" s="6" t="n"/>
      <c r="L68" s="9" t="n"/>
      <c r="M68" s="5" t="n"/>
      <c r="N68" s="5" t="n"/>
      <c r="O68" s="5" t="n"/>
    </row>
    <row r="69">
      <c r="D69" s="5" t="n"/>
      <c r="H69" s="6" t="n"/>
      <c r="J69" s="8" t="n"/>
      <c r="K69" s="6" t="n"/>
      <c r="L69" s="9" t="n"/>
      <c r="M69" s="5" t="n"/>
      <c r="N69" s="5" t="n"/>
      <c r="O69" s="5" t="n"/>
    </row>
    <row r="70">
      <c r="D70" s="5" t="n"/>
      <c r="H70" s="6" t="n"/>
      <c r="J70" s="8" t="n"/>
      <c r="K70" s="6" t="n"/>
      <c r="L70" s="9" t="n"/>
      <c r="M70" s="5" t="n"/>
      <c r="N70" s="5" t="n"/>
      <c r="O70" s="5" t="n"/>
    </row>
    <row r="71">
      <c r="D71" s="5" t="n"/>
      <c r="H71" s="6" t="n"/>
      <c r="J71" s="8" t="n"/>
      <c r="K71" s="6" t="n"/>
      <c r="L71" s="9" t="n"/>
      <c r="M71" s="5" t="n"/>
      <c r="N71" s="5" t="n"/>
      <c r="O71" s="5" t="n"/>
    </row>
    <row r="72">
      <c r="D72" s="5" t="n"/>
      <c r="H72" s="6" t="n"/>
      <c r="J72" s="8" t="n"/>
      <c r="K72" s="6" t="n"/>
      <c r="L72" s="9" t="n"/>
      <c r="M72" s="5" t="n"/>
      <c r="N72" s="5" t="n"/>
      <c r="O72" s="5" t="n"/>
    </row>
    <row r="73">
      <c r="D73" s="5" t="n"/>
      <c r="H73" s="6" t="n"/>
      <c r="J73" s="8" t="n"/>
      <c r="K73" s="6" t="n"/>
      <c r="L73" s="9" t="n"/>
      <c r="M73" s="5" t="n"/>
      <c r="N73" s="5" t="n"/>
      <c r="O73" s="5" t="n"/>
    </row>
    <row r="74">
      <c r="D74" s="5" t="n"/>
      <c r="H74" s="6" t="n"/>
      <c r="J74" s="8" t="n"/>
      <c r="K74" s="6" t="n"/>
      <c r="L74" s="9" t="n"/>
      <c r="M74" s="5" t="n"/>
      <c r="N74" s="5" t="n"/>
      <c r="O74" s="5" t="n"/>
    </row>
    <row r="75">
      <c r="D75" s="5" t="n"/>
      <c r="H75" s="6" t="n"/>
      <c r="J75" s="8" t="n"/>
      <c r="K75" s="6" t="n"/>
      <c r="L75" s="9" t="n"/>
      <c r="M75" s="5" t="n"/>
      <c r="N75" s="5" t="n"/>
      <c r="O75" s="5" t="n"/>
    </row>
    <row r="76">
      <c r="D76" s="5" t="n"/>
      <c r="H76" s="6" t="n"/>
      <c r="J76" s="8" t="n"/>
      <c r="K76" s="6" t="n"/>
      <c r="L76" s="9" t="n"/>
      <c r="M76" s="5" t="n"/>
      <c r="N76" s="5" t="n"/>
      <c r="O76" s="5" t="n"/>
    </row>
    <row r="77">
      <c r="D77" s="5" t="n"/>
      <c r="H77" s="6" t="n"/>
      <c r="J77" s="8" t="n"/>
      <c r="K77" s="6" t="n"/>
      <c r="L77" s="9" t="n"/>
      <c r="M77" s="5" t="n"/>
      <c r="N77" s="5" t="n"/>
      <c r="O77" s="5" t="n"/>
    </row>
    <row r="78">
      <c r="D78" s="5" t="n"/>
      <c r="H78" s="6" t="n"/>
      <c r="J78" s="8" t="n"/>
      <c r="K78" s="6" t="n"/>
      <c r="L78" s="9" t="n"/>
      <c r="M78" s="5" t="n"/>
      <c r="N78" s="5" t="n"/>
      <c r="O78" s="5" t="n"/>
    </row>
    <row r="79">
      <c r="D79" s="5" t="n"/>
      <c r="H79" s="6" t="n"/>
      <c r="J79" s="8" t="n"/>
      <c r="K79" s="6" t="n"/>
      <c r="L79" s="9" t="n"/>
      <c r="M79" s="5" t="n"/>
      <c r="N79" s="5" t="n"/>
      <c r="O79" s="5" t="n"/>
    </row>
    <row r="80">
      <c r="D80" s="5" t="n"/>
      <c r="H80" s="6" t="n"/>
      <c r="J80" s="8" t="n"/>
      <c r="K80" s="6" t="n"/>
      <c r="L80" s="9" t="n"/>
      <c r="M80" s="5" t="n"/>
      <c r="N80" s="5" t="n"/>
      <c r="O80" s="5" t="n"/>
    </row>
    <row r="81">
      <c r="D81" s="5" t="n"/>
      <c r="H81" s="6" t="n"/>
      <c r="J81" s="8" t="n"/>
      <c r="K81" s="6" t="n"/>
      <c r="L81" s="9" t="n"/>
      <c r="M81" s="5" t="n"/>
      <c r="N81" s="5" t="n"/>
      <c r="O81" s="5" t="n"/>
    </row>
    <row r="82">
      <c r="D82" s="5" t="n"/>
      <c r="H82" s="6" t="n"/>
      <c r="J82" s="8" t="n"/>
      <c r="K82" s="6" t="n"/>
      <c r="L82" s="9" t="n"/>
      <c r="M82" s="5" t="n"/>
      <c r="N82" s="5" t="n"/>
      <c r="O82" s="5" t="n"/>
    </row>
    <row r="83">
      <c r="D83" s="5" t="n"/>
      <c r="H83" s="6" t="n"/>
      <c r="J83" s="8" t="n"/>
      <c r="K83" s="6" t="n"/>
      <c r="L83" s="9" t="n"/>
      <c r="M83" s="5" t="n"/>
      <c r="N83" s="5" t="n"/>
      <c r="O83" s="5" t="n"/>
    </row>
    <row r="84">
      <c r="D84" s="5" t="n"/>
      <c r="H84" s="6" t="n"/>
      <c r="J84" s="8" t="n"/>
      <c r="K84" s="6" t="n"/>
      <c r="L84" s="9" t="n"/>
      <c r="M84" s="5" t="n"/>
      <c r="N84" s="5" t="n"/>
      <c r="O84" s="5" t="n"/>
    </row>
    <row r="85">
      <c r="D85" s="5" t="n"/>
      <c r="H85" s="6" t="n"/>
      <c r="J85" s="8" t="n"/>
      <c r="K85" s="6" t="n"/>
      <c r="L85" s="9" t="n"/>
      <c r="M85" s="5" t="n"/>
      <c r="N85" s="5" t="n"/>
      <c r="O85" s="5" t="n"/>
    </row>
    <row r="86">
      <c r="D86" s="5" t="n"/>
      <c r="H86" s="6" t="n"/>
      <c r="J86" s="8" t="n"/>
      <c r="K86" s="6" t="n"/>
      <c r="L86" s="9" t="n"/>
      <c r="M86" s="5" t="n"/>
      <c r="N86" s="5" t="n"/>
      <c r="O86" s="5" t="n"/>
    </row>
    <row r="87">
      <c r="D87" s="5" t="n"/>
      <c r="H87" s="6" t="n"/>
      <c r="J87" s="8" t="n"/>
      <c r="K87" s="6" t="n"/>
      <c r="L87" s="9" t="n"/>
      <c r="M87" s="5" t="n"/>
      <c r="N87" s="5" t="n"/>
      <c r="O87" s="5" t="n"/>
    </row>
    <row r="88">
      <c r="D88" s="5" t="n"/>
      <c r="H88" s="6" t="n"/>
      <c r="J88" s="8" t="n"/>
      <c r="K88" s="6" t="n"/>
      <c r="L88" s="9" t="n"/>
      <c r="M88" s="5" t="n"/>
      <c r="N88" s="5" t="n"/>
      <c r="O88" s="5" t="n"/>
    </row>
    <row r="89">
      <c r="D89" s="5" t="n"/>
      <c r="H89" s="6" t="n"/>
      <c r="J89" s="8" t="n"/>
      <c r="K89" s="6" t="n"/>
      <c r="L89" s="9" t="n"/>
      <c r="M89" s="5" t="n"/>
      <c r="N89" s="5" t="n"/>
      <c r="O89" s="5" t="n"/>
    </row>
    <row r="90">
      <c r="D90" s="5" t="n"/>
      <c r="H90" s="6" t="n"/>
      <c r="J90" s="8" t="n"/>
      <c r="K90" s="6" t="n"/>
      <c r="L90" s="9" t="n"/>
      <c r="M90" s="5" t="n"/>
      <c r="N90" s="5" t="n"/>
      <c r="O90" s="5" t="n"/>
    </row>
    <row r="91">
      <c r="D91" s="5" t="n"/>
      <c r="H91" s="6" t="n"/>
      <c r="J91" s="8" t="n"/>
      <c r="K91" s="6" t="n"/>
      <c r="L91" s="9" t="n"/>
      <c r="M91" s="5" t="n"/>
      <c r="N91" s="5" t="n"/>
      <c r="O91" s="5" t="n"/>
    </row>
    <row r="92">
      <c r="D92" s="5" t="n"/>
      <c r="H92" s="6" t="n"/>
      <c r="J92" s="8" t="n"/>
      <c r="K92" s="6" t="n"/>
      <c r="L92" s="9" t="n"/>
      <c r="M92" s="5" t="n"/>
      <c r="N92" s="5" t="n"/>
      <c r="O92" s="5" t="n"/>
    </row>
    <row r="93">
      <c r="D93" s="5" t="n"/>
      <c r="H93" s="6" t="n"/>
      <c r="J93" s="8" t="n"/>
      <c r="K93" s="6" t="n"/>
      <c r="L93" s="9" t="n"/>
      <c r="M93" s="5" t="n"/>
      <c r="N93" s="5" t="n"/>
      <c r="O93" s="5" t="n"/>
    </row>
    <row r="94">
      <c r="D94" s="5" t="n"/>
      <c r="H94" s="6" t="n"/>
      <c r="J94" s="8" t="n"/>
      <c r="K94" s="6" t="n"/>
      <c r="L94" s="9" t="n"/>
      <c r="M94" s="5" t="n"/>
      <c r="N94" s="5" t="n"/>
      <c r="O94" s="5" t="n"/>
    </row>
    <row r="95">
      <c r="D95" s="5" t="n"/>
      <c r="H95" s="6" t="n"/>
      <c r="J95" s="8" t="n"/>
      <c r="K95" s="6" t="n"/>
      <c r="L95" s="9" t="n"/>
      <c r="M95" s="5" t="n"/>
      <c r="N95" s="5" t="n"/>
      <c r="O95" s="5" t="n"/>
    </row>
    <row r="96">
      <c r="D96" s="5" t="n"/>
      <c r="H96" s="6" t="n"/>
      <c r="J96" s="8" t="n"/>
      <c r="K96" s="6" t="n"/>
      <c r="L96" s="9" t="n"/>
      <c r="M96" s="5" t="n"/>
      <c r="N96" s="5" t="n"/>
      <c r="O96" s="5" t="n"/>
    </row>
    <row r="97">
      <c r="D97" s="5" t="n"/>
      <c r="H97" s="6" t="n"/>
      <c r="J97" s="8" t="n"/>
      <c r="K97" s="6" t="n"/>
      <c r="L97" s="9" t="n"/>
      <c r="M97" s="5" t="n"/>
      <c r="N97" s="5" t="n"/>
      <c r="O97" s="5" t="n"/>
    </row>
    <row r="98">
      <c r="D98" s="5" t="n"/>
      <c r="H98" s="6" t="n"/>
      <c r="J98" s="8" t="n"/>
      <c r="K98" s="6" t="n"/>
      <c r="L98" s="9" t="n"/>
      <c r="M98" s="5" t="n"/>
      <c r="N98" s="5" t="n"/>
      <c r="O98" s="5" t="n"/>
    </row>
    <row r="99">
      <c r="D99" s="5" t="n"/>
      <c r="H99" s="6" t="n"/>
      <c r="J99" s="8" t="n"/>
      <c r="K99" s="6" t="n"/>
      <c r="L99" s="9" t="n"/>
      <c r="M99" s="5" t="n"/>
      <c r="N99" s="5" t="n"/>
      <c r="O99" s="5" t="n"/>
    </row>
    <row r="100">
      <c r="D100" s="5" t="n"/>
      <c r="H100" s="6" t="n"/>
      <c r="J100" s="8" t="n"/>
      <c r="K100" s="6" t="n"/>
      <c r="L100" s="9" t="n"/>
      <c r="M100" s="5" t="n"/>
      <c r="N100" s="5" t="n"/>
      <c r="O100" s="5" t="n"/>
    </row>
    <row r="101">
      <c r="D101" s="5" t="n"/>
      <c r="H101" s="6" t="n"/>
      <c r="J101" s="8" t="n"/>
      <c r="K101" s="6" t="n"/>
      <c r="L101" s="9" t="n"/>
      <c r="M101" s="5" t="n"/>
      <c r="N101" s="5" t="n"/>
      <c r="O101" s="5" t="n"/>
    </row>
    <row r="102">
      <c r="D102" s="5" t="n"/>
      <c r="H102" s="6" t="n"/>
      <c r="J102" s="8" t="n"/>
      <c r="K102" s="6" t="n"/>
      <c r="L102" s="9" t="n"/>
      <c r="M102" s="5" t="n"/>
      <c r="N102" s="5" t="n"/>
      <c r="O102" s="5" t="n"/>
    </row>
    <row r="103">
      <c r="D103" s="5" t="n"/>
      <c r="H103" s="6" t="n"/>
      <c r="J103" s="8" t="n"/>
      <c r="K103" s="6" t="n"/>
      <c r="L103" s="9" t="n"/>
      <c r="M103" s="5" t="n"/>
      <c r="N103" s="5" t="n"/>
      <c r="O103" s="5" t="n"/>
    </row>
    <row r="104">
      <c r="D104" s="5" t="n"/>
      <c r="H104" s="6" t="n"/>
      <c r="J104" s="8" t="n"/>
      <c r="K104" s="6" t="n"/>
      <c r="L104" s="9" t="n"/>
      <c r="M104" s="5" t="n"/>
      <c r="N104" s="5" t="n"/>
      <c r="O104" s="5" t="n"/>
    </row>
    <row r="105">
      <c r="D105" s="5" t="n"/>
      <c r="H105" s="6" t="n"/>
      <c r="J105" s="8" t="n"/>
      <c r="K105" s="6" t="n"/>
      <c r="L105" s="9" t="n"/>
      <c r="M105" s="5" t="n"/>
      <c r="N105" s="5" t="n"/>
      <c r="O105" s="5" t="n"/>
    </row>
    <row r="106">
      <c r="D106" s="5" t="n"/>
      <c r="H106" s="6" t="n"/>
      <c r="J106" s="8" t="n"/>
      <c r="K106" s="6" t="n"/>
      <c r="L106" s="9" t="n"/>
      <c r="M106" s="5" t="n"/>
      <c r="N106" s="5" t="n"/>
      <c r="O106" s="5" t="n"/>
    </row>
    <row r="107">
      <c r="D107" s="5" t="n"/>
      <c r="H107" s="6" t="n"/>
      <c r="J107" s="8" t="n"/>
      <c r="K107" s="6" t="n"/>
      <c r="L107" s="9" t="n"/>
      <c r="M107" s="5" t="n"/>
      <c r="N107" s="5" t="n"/>
      <c r="O107" s="5" t="n"/>
    </row>
    <row r="108">
      <c r="D108" s="5" t="n"/>
      <c r="H108" s="6" t="n"/>
      <c r="J108" s="8" t="n"/>
      <c r="K108" s="6" t="n"/>
      <c r="L108" s="9" t="n"/>
      <c r="M108" s="5" t="n"/>
      <c r="N108" s="5" t="n"/>
      <c r="O108" s="5" t="n"/>
    </row>
    <row r="109">
      <c r="D109" s="5" t="n"/>
      <c r="H109" s="6" t="n"/>
      <c r="J109" s="8" t="n"/>
      <c r="K109" s="6" t="n"/>
      <c r="L109" s="9" t="n"/>
      <c r="M109" s="5" t="n"/>
      <c r="N109" s="5" t="n"/>
      <c r="O109" s="5" t="n"/>
    </row>
    <row r="110">
      <c r="D110" s="5" t="n"/>
      <c r="H110" s="6" t="n"/>
      <c r="J110" s="8" t="n"/>
      <c r="K110" s="6" t="n"/>
      <c r="L110" s="9" t="n"/>
      <c r="M110" s="5" t="n"/>
      <c r="N110" s="5" t="n"/>
      <c r="O110" s="5" t="n"/>
    </row>
    <row r="111">
      <c r="D111" s="5" t="n"/>
      <c r="H111" s="6" t="n"/>
      <c r="J111" s="8" t="n"/>
      <c r="K111" s="6" t="n"/>
      <c r="L111" s="9" t="n"/>
      <c r="M111" s="5" t="n"/>
      <c r="N111" s="5" t="n"/>
      <c r="O111" s="5" t="n"/>
    </row>
    <row r="112">
      <c r="D112" s="5" t="n"/>
      <c r="H112" s="6" t="n"/>
      <c r="J112" s="8" t="n"/>
      <c r="K112" s="6" t="n"/>
      <c r="L112" s="9" t="n"/>
      <c r="M112" s="5" t="n"/>
      <c r="N112" s="5" t="n"/>
      <c r="O112" s="5" t="n"/>
    </row>
    <row r="113">
      <c r="D113" s="5" t="n"/>
      <c r="H113" s="6" t="n"/>
      <c r="J113" s="8" t="n"/>
      <c r="K113" s="6" t="n"/>
      <c r="L113" s="9" t="n"/>
      <c r="M113" s="5" t="n"/>
      <c r="N113" s="5" t="n"/>
      <c r="O113" s="5" t="n"/>
    </row>
    <row r="114">
      <c r="D114" s="5" t="n"/>
      <c r="H114" s="6" t="n"/>
      <c r="J114" s="8" t="n"/>
      <c r="K114" s="6" t="n"/>
      <c r="L114" s="9" t="n"/>
      <c r="M114" s="5" t="n"/>
      <c r="N114" s="5" t="n"/>
      <c r="O114" s="5" t="n"/>
    </row>
    <row r="115">
      <c r="D115" s="5" t="n"/>
      <c r="H115" s="6" t="n"/>
      <c r="J115" s="8" t="n"/>
      <c r="K115" s="6" t="n"/>
      <c r="L115" s="9" t="n"/>
      <c r="M115" s="5" t="n"/>
      <c r="N115" s="5" t="n"/>
      <c r="O115" s="5" t="n"/>
    </row>
    <row r="116">
      <c r="D116" s="5" t="n"/>
      <c r="H116" s="6" t="n"/>
      <c r="J116" s="8" t="n"/>
      <c r="K116" s="6" t="n"/>
      <c r="L116" s="9" t="n"/>
      <c r="M116" s="5" t="n"/>
      <c r="N116" s="5" t="n"/>
      <c r="O116" s="5" t="n"/>
    </row>
    <row r="117">
      <c r="D117" s="5" t="n"/>
      <c r="H117" s="6" t="n"/>
      <c r="J117" s="8" t="n"/>
      <c r="K117" s="6" t="n"/>
      <c r="L117" s="9" t="n"/>
      <c r="M117" s="5" t="n"/>
      <c r="N117" s="5" t="n"/>
      <c r="O117" s="5" t="n"/>
    </row>
    <row r="118">
      <c r="D118" s="5" t="n"/>
      <c r="H118" s="6" t="n"/>
      <c r="J118" s="8" t="n"/>
      <c r="K118" s="6" t="n"/>
      <c r="L118" s="9" t="n"/>
      <c r="M118" s="5" t="n"/>
      <c r="N118" s="5" t="n"/>
      <c r="O118" s="5" t="n"/>
    </row>
    <row r="119">
      <c r="D119" s="5" t="n"/>
      <c r="H119" s="6" t="n"/>
      <c r="J119" s="8" t="n"/>
      <c r="K119" s="6" t="n"/>
      <c r="L119" s="9" t="n"/>
      <c r="M119" s="5" t="n"/>
      <c r="N119" s="5" t="n"/>
      <c r="O119" s="5" t="n"/>
    </row>
    <row r="120">
      <c r="D120" s="5" t="n"/>
      <c r="H120" s="6" t="n"/>
      <c r="J120" s="8" t="n"/>
      <c r="K120" s="6" t="n"/>
      <c r="L120" s="9" t="n"/>
      <c r="M120" s="5" t="n"/>
      <c r="N120" s="5" t="n"/>
      <c r="O120" s="5" t="n"/>
    </row>
    <row r="121">
      <c r="D121" s="5" t="n"/>
      <c r="H121" s="6" t="n"/>
      <c r="J121" s="8" t="n"/>
      <c r="K121" s="6" t="n"/>
      <c r="L121" s="9" t="n"/>
      <c r="M121" s="5" t="n"/>
      <c r="N121" s="5" t="n"/>
      <c r="O121" s="5" t="n"/>
    </row>
    <row r="122">
      <c r="D122" s="5" t="n"/>
      <c r="H122" s="6" t="n"/>
      <c r="J122" s="8" t="n"/>
      <c r="K122" s="6" t="n"/>
      <c r="L122" s="9" t="n"/>
      <c r="M122" s="5" t="n"/>
      <c r="N122" s="5" t="n"/>
      <c r="O122" s="5" t="n"/>
    </row>
    <row r="123">
      <c r="D123" s="5" t="n"/>
      <c r="H123" s="6" t="n"/>
      <c r="J123" s="8" t="n"/>
      <c r="K123" s="6" t="n"/>
      <c r="L123" s="9" t="n"/>
      <c r="M123" s="5" t="n"/>
      <c r="N123" s="5" t="n"/>
      <c r="O123" s="5" t="n"/>
    </row>
    <row r="124">
      <c r="D124" s="5" t="n"/>
      <c r="H124" s="6" t="n"/>
      <c r="J124" s="8" t="n"/>
      <c r="K124" s="6" t="n"/>
      <c r="L124" s="9" t="n"/>
      <c r="M124" s="5" t="n"/>
      <c r="N124" s="5" t="n"/>
      <c r="O124" s="5" t="n"/>
    </row>
    <row r="125">
      <c r="D125" s="5" t="n"/>
      <c r="H125" s="6" t="n"/>
      <c r="J125" s="8" t="n"/>
      <c r="K125" s="6" t="n"/>
      <c r="L125" s="9" t="n"/>
      <c r="M125" s="5" t="n"/>
      <c r="N125" s="5" t="n"/>
      <c r="O125" s="5" t="n"/>
    </row>
    <row r="126">
      <c r="D126" s="5" t="n"/>
      <c r="H126" s="6" t="n"/>
      <c r="J126" s="8" t="n"/>
      <c r="K126" s="6" t="n"/>
      <c r="L126" s="9" t="n"/>
      <c r="M126" s="5" t="n"/>
      <c r="N126" s="5" t="n"/>
      <c r="O126" s="5" t="n"/>
    </row>
    <row r="127">
      <c r="D127" s="5" t="n"/>
      <c r="H127" s="6" t="n"/>
      <c r="J127" s="8" t="n"/>
      <c r="K127" s="6" t="n"/>
      <c r="L127" s="9" t="n"/>
      <c r="M127" s="5" t="n"/>
      <c r="N127" s="5" t="n"/>
      <c r="O127" s="5" t="n"/>
    </row>
    <row r="128">
      <c r="D128" s="5" t="n"/>
      <c r="H128" s="6" t="n"/>
      <c r="J128" s="8" t="n"/>
      <c r="K128" s="6" t="n"/>
      <c r="L128" s="9" t="n"/>
      <c r="M128" s="5" t="n"/>
      <c r="N128" s="5" t="n"/>
      <c r="O128" s="5" t="n"/>
    </row>
    <row r="129">
      <c r="D129" s="5" t="n"/>
      <c r="H129" s="6" t="n"/>
      <c r="J129" s="8" t="n"/>
      <c r="K129" s="6" t="n"/>
      <c r="L129" s="9" t="n"/>
      <c r="M129" s="5" t="n"/>
      <c r="N129" s="5" t="n"/>
      <c r="O129" s="5" t="n"/>
    </row>
    <row r="130">
      <c r="D130" s="5" t="n"/>
      <c r="H130" s="6" t="n"/>
      <c r="J130" s="8" t="n"/>
      <c r="K130" s="6" t="n"/>
      <c r="L130" s="9" t="n"/>
      <c r="M130" s="5" t="n"/>
      <c r="N130" s="5" t="n"/>
      <c r="O130" s="5" t="n"/>
    </row>
    <row r="131">
      <c r="D131" s="5" t="n"/>
      <c r="H131" s="6" t="n"/>
      <c r="J131" s="8" t="n"/>
      <c r="K131" s="6" t="n"/>
      <c r="L131" s="9" t="n"/>
      <c r="M131" s="5" t="n"/>
      <c r="N131" s="5" t="n"/>
      <c r="O131" s="5" t="n"/>
    </row>
    <row r="132">
      <c r="D132" s="5" t="n"/>
      <c r="H132" s="6" t="n"/>
      <c r="J132" s="8" t="n"/>
      <c r="K132" s="6" t="n"/>
      <c r="L132" s="9" t="n"/>
      <c r="M132" s="5" t="n"/>
      <c r="N132" s="5" t="n"/>
      <c r="O132" s="5" t="n"/>
    </row>
    <row r="133">
      <c r="D133" s="5" t="n"/>
      <c r="H133" s="6" t="n"/>
      <c r="J133" s="8" t="n"/>
      <c r="K133" s="6" t="n"/>
      <c r="L133" s="9" t="n"/>
      <c r="M133" s="5" t="n"/>
      <c r="N133" s="5" t="n"/>
      <c r="O133" s="5" t="n"/>
    </row>
    <row r="134">
      <c r="D134" s="5" t="n"/>
      <c r="H134" s="6" t="n"/>
      <c r="J134" s="8" t="n"/>
      <c r="K134" s="6" t="n"/>
      <c r="L134" s="9" t="n"/>
      <c r="M134" s="5" t="n"/>
      <c r="N134" s="5" t="n"/>
      <c r="O134" s="5" t="n"/>
    </row>
    <row r="135">
      <c r="D135" s="5" t="n"/>
      <c r="H135" s="6" t="n"/>
      <c r="J135" s="8" t="n"/>
      <c r="K135" s="6" t="n"/>
      <c r="L135" s="9" t="n"/>
      <c r="M135" s="5" t="n"/>
      <c r="N135" s="5" t="n"/>
      <c r="O135" s="5" t="n"/>
    </row>
    <row r="136">
      <c r="D136" s="5" t="n"/>
      <c r="H136" s="6" t="n"/>
      <c r="J136" s="8" t="n"/>
      <c r="K136" s="6" t="n"/>
      <c r="L136" s="9" t="n"/>
      <c r="M136" s="5" t="n"/>
      <c r="N136" s="5" t="n"/>
      <c r="O136" s="5" t="n"/>
    </row>
    <row r="137">
      <c r="D137" s="5" t="n"/>
      <c r="H137" s="6" t="n"/>
      <c r="J137" s="8" t="n"/>
      <c r="K137" s="6" t="n"/>
      <c r="L137" s="9" t="n"/>
      <c r="M137" s="5" t="n"/>
      <c r="N137" s="5" t="n"/>
      <c r="O137" s="5" t="n"/>
    </row>
    <row r="138">
      <c r="D138" s="5" t="n"/>
      <c r="H138" s="6" t="n"/>
      <c r="J138" s="8" t="n"/>
      <c r="K138" s="6" t="n"/>
      <c r="L138" s="9" t="n"/>
      <c r="M138" s="5" t="n"/>
      <c r="N138" s="5" t="n"/>
      <c r="O138" s="5" t="n"/>
    </row>
    <row r="139">
      <c r="D139" s="5" t="n"/>
      <c r="H139" s="6" t="n"/>
      <c r="J139" s="8" t="n"/>
      <c r="K139" s="6" t="n"/>
      <c r="L139" s="9" t="n"/>
      <c r="M139" s="5" t="n"/>
      <c r="N139" s="5" t="n"/>
      <c r="O139" s="5" t="n"/>
    </row>
    <row r="140">
      <c r="D140" s="5" t="n"/>
      <c r="H140" s="6" t="n"/>
      <c r="J140" s="8" t="n"/>
      <c r="K140" s="6" t="n"/>
      <c r="L140" s="9" t="n"/>
      <c r="M140" s="5" t="n"/>
      <c r="N140" s="5" t="n"/>
      <c r="O140" s="5" t="n"/>
    </row>
    <row r="141">
      <c r="D141" s="5" t="n"/>
      <c r="H141" s="6" t="n"/>
      <c r="J141" s="8" t="n"/>
      <c r="K141" s="6" t="n"/>
      <c r="L141" s="9" t="n"/>
      <c r="M141" s="5" t="n"/>
      <c r="N141" s="5" t="n"/>
      <c r="O141" s="5" t="n"/>
    </row>
    <row r="142">
      <c r="D142" s="5" t="n"/>
      <c r="H142" s="6" t="n"/>
      <c r="J142" s="8" t="n"/>
      <c r="K142" s="6" t="n"/>
      <c r="L142" s="9" t="n"/>
      <c r="M142" s="5" t="n"/>
      <c r="N142" s="5" t="n"/>
      <c r="O142" s="5" t="n"/>
    </row>
    <row r="143">
      <c r="D143" s="5" t="n"/>
      <c r="H143" s="6" t="n"/>
      <c r="J143" s="8" t="n"/>
      <c r="K143" s="6" t="n"/>
      <c r="L143" s="9" t="n"/>
      <c r="M143" s="5" t="n"/>
      <c r="N143" s="5" t="n"/>
      <c r="O143" s="5" t="n"/>
    </row>
    <row r="144">
      <c r="D144" s="5" t="n"/>
      <c r="H144" s="6" t="n"/>
      <c r="J144" s="8" t="n"/>
      <c r="K144" s="6" t="n"/>
      <c r="L144" s="9" t="n"/>
      <c r="M144" s="5" t="n"/>
      <c r="N144" s="5" t="n"/>
      <c r="O144" s="5" t="n"/>
    </row>
    <row r="145">
      <c r="D145" s="5" t="n"/>
      <c r="H145" s="6" t="n"/>
      <c r="J145" s="8" t="n"/>
      <c r="K145" s="6" t="n"/>
      <c r="L145" s="9" t="n"/>
      <c r="M145" s="5" t="n"/>
      <c r="N145" s="5" t="n"/>
      <c r="O145" s="5" t="n"/>
    </row>
    <row r="146">
      <c r="D146" s="5" t="n"/>
      <c r="H146" s="6" t="n"/>
      <c r="J146" s="8" t="n"/>
      <c r="K146" s="6" t="n"/>
      <c r="L146" s="9" t="n"/>
      <c r="M146" s="5" t="n"/>
      <c r="N146" s="5" t="n"/>
      <c r="O146" s="5" t="n"/>
    </row>
    <row r="147">
      <c r="D147" s="5" t="n"/>
      <c r="H147" s="6" t="n"/>
      <c r="J147" s="8" t="n"/>
      <c r="K147" s="6" t="n"/>
      <c r="L147" s="9" t="n"/>
      <c r="M147" s="5" t="n"/>
      <c r="N147" s="5" t="n"/>
      <c r="O147" s="5" t="n"/>
    </row>
    <row r="148">
      <c r="D148" s="5" t="n"/>
      <c r="H148" s="6" t="n"/>
      <c r="J148" s="8" t="n"/>
      <c r="K148" s="6" t="n"/>
      <c r="L148" s="9" t="n"/>
      <c r="M148" s="5" t="n"/>
      <c r="N148" s="5" t="n"/>
      <c r="O148" s="5" t="n"/>
    </row>
    <row r="149">
      <c r="D149" s="5" t="n"/>
      <c r="H149" s="6" t="n"/>
      <c r="J149" s="8" t="n"/>
      <c r="K149" s="6" t="n"/>
      <c r="L149" s="9" t="n"/>
      <c r="M149" s="5" t="n"/>
      <c r="N149" s="5" t="n"/>
      <c r="O149" s="5" t="n"/>
    </row>
    <row r="150">
      <c r="D150" s="5" t="n"/>
      <c r="H150" s="6" t="n"/>
      <c r="J150" s="8" t="n"/>
      <c r="K150" s="6" t="n"/>
      <c r="L150" s="9" t="n"/>
      <c r="M150" s="5" t="n"/>
      <c r="N150" s="5" t="n"/>
      <c r="O150" s="5" t="n"/>
    </row>
    <row r="151">
      <c r="D151" s="5" t="n"/>
      <c r="H151" s="6" t="n"/>
      <c r="J151" s="8" t="n"/>
      <c r="K151" s="6" t="n"/>
      <c r="L151" s="9" t="n"/>
      <c r="M151" s="5" t="n"/>
      <c r="N151" s="5" t="n"/>
      <c r="O151" s="5" t="n"/>
    </row>
    <row r="152">
      <c r="D152" s="5" t="n"/>
      <c r="H152" s="6" t="n"/>
      <c r="J152" s="8" t="n"/>
      <c r="K152" s="6" t="n"/>
      <c r="L152" s="9" t="n"/>
      <c r="M152" s="5" t="n"/>
      <c r="N152" s="5" t="n"/>
      <c r="O152" s="5" t="n"/>
    </row>
    <row r="153">
      <c r="D153" s="5" t="n"/>
      <c r="H153" s="6" t="n"/>
      <c r="J153" s="8" t="n"/>
      <c r="K153" s="6" t="n"/>
      <c r="L153" s="9" t="n"/>
      <c r="M153" s="5" t="n"/>
      <c r="N153" s="5" t="n"/>
      <c r="O153" s="5" t="n"/>
    </row>
    <row r="154">
      <c r="D154" s="5" t="n"/>
      <c r="H154" s="6" t="n"/>
      <c r="J154" s="8" t="n"/>
      <c r="K154" s="6" t="n"/>
      <c r="L154" s="9" t="n"/>
      <c r="M154" s="5" t="n"/>
      <c r="N154" s="5" t="n"/>
      <c r="O154" s="5" t="n"/>
    </row>
    <row r="155">
      <c r="D155" s="5" t="n"/>
      <c r="H155" s="6" t="n"/>
      <c r="J155" s="8" t="n"/>
      <c r="K155" s="6" t="n"/>
      <c r="L155" s="9" t="n"/>
      <c r="M155" s="5" t="n"/>
      <c r="N155" s="5" t="n"/>
      <c r="O155" s="5" t="n"/>
    </row>
    <row r="156">
      <c r="D156" s="5" t="n"/>
      <c r="H156" s="6" t="n"/>
      <c r="J156" s="8" t="n"/>
      <c r="K156" s="6" t="n"/>
      <c r="L156" s="9" t="n"/>
      <c r="M156" s="5" t="n"/>
      <c r="N156" s="5" t="n"/>
      <c r="O156" s="5" t="n"/>
    </row>
    <row r="157">
      <c r="D157" s="5" t="n"/>
      <c r="H157" s="6" t="n"/>
      <c r="J157" s="8" t="n"/>
      <c r="K157" s="6" t="n"/>
      <c r="L157" s="9" t="n"/>
      <c r="M157" s="5" t="n"/>
      <c r="N157" s="5" t="n"/>
      <c r="O157" s="5" t="n"/>
    </row>
    <row r="158">
      <c r="D158" s="5" t="n"/>
      <c r="H158" s="6" t="n"/>
      <c r="J158" s="8" t="n"/>
      <c r="K158" s="6" t="n"/>
      <c r="L158" s="9" t="n"/>
      <c r="M158" s="5" t="n"/>
      <c r="N158" s="5" t="n"/>
      <c r="O158" s="5" t="n"/>
    </row>
    <row r="159">
      <c r="D159" s="5" t="n"/>
      <c r="H159" s="6" t="n"/>
      <c r="J159" s="8" t="n"/>
      <c r="K159" s="6" t="n"/>
      <c r="L159" s="9" t="n"/>
      <c r="M159" s="5" t="n"/>
      <c r="N159" s="5" t="n"/>
      <c r="O159" s="5" t="n"/>
    </row>
    <row r="160">
      <c r="D160" s="5" t="n"/>
      <c r="H160" s="6" t="n"/>
      <c r="J160" s="8" t="n"/>
      <c r="K160" s="6" t="n"/>
      <c r="L160" s="9" t="n"/>
      <c r="M160" s="5" t="n"/>
      <c r="N160" s="5" t="n"/>
      <c r="O160" s="5" t="n"/>
    </row>
    <row r="161">
      <c r="D161" s="5" t="n"/>
      <c r="H161" s="6" t="n"/>
      <c r="J161" s="8" t="n"/>
      <c r="K161" s="6" t="n"/>
      <c r="L161" s="9" t="n"/>
      <c r="M161" s="5" t="n"/>
      <c r="N161" s="5" t="n"/>
      <c r="O161" s="5" t="n"/>
    </row>
    <row r="162">
      <c r="D162" s="5" t="n"/>
      <c r="H162" s="6" t="n"/>
      <c r="J162" s="8" t="n"/>
      <c r="K162" s="6" t="n"/>
      <c r="L162" s="9" t="n"/>
      <c r="M162" s="5" t="n"/>
      <c r="N162" s="5" t="n"/>
      <c r="O162" s="5" t="n"/>
    </row>
    <row r="163">
      <c r="D163" s="5" t="n"/>
      <c r="H163" s="6" t="n"/>
      <c r="J163" s="8" t="n"/>
      <c r="K163" s="6" t="n"/>
      <c r="L163" s="9" t="n"/>
      <c r="M163" s="5" t="n"/>
      <c r="N163" s="5" t="n"/>
      <c r="O163" s="5" t="n"/>
    </row>
    <row r="164">
      <c r="D164" s="5" t="n"/>
      <c r="H164" s="6" t="n"/>
      <c r="J164" s="8" t="n"/>
      <c r="K164" s="6" t="n"/>
      <c r="L164" s="9" t="n"/>
      <c r="M164" s="5" t="n"/>
      <c r="N164" s="5" t="n"/>
      <c r="O164" s="5" t="n"/>
    </row>
    <row r="165">
      <c r="D165" s="5" t="n"/>
      <c r="H165" s="6" t="n"/>
      <c r="J165" s="8" t="n"/>
      <c r="K165" s="6" t="n"/>
      <c r="L165" s="9" t="n"/>
      <c r="M165" s="5" t="n"/>
      <c r="N165" s="5" t="n"/>
      <c r="O165" s="5" t="n"/>
    </row>
    <row r="166">
      <c r="D166" s="5" t="n"/>
      <c r="H166" s="6" t="n"/>
      <c r="J166" s="8" t="n"/>
      <c r="K166" s="6" t="n"/>
      <c r="L166" s="9" t="n"/>
      <c r="M166" s="5" t="n"/>
      <c r="N166" s="5" t="n"/>
      <c r="O166" s="5" t="n"/>
    </row>
    <row r="167">
      <c r="D167" s="5" t="n"/>
      <c r="H167" s="6" t="n"/>
      <c r="J167" s="8" t="n"/>
      <c r="K167" s="6" t="n"/>
      <c r="L167" s="9" t="n"/>
      <c r="M167" s="5" t="n"/>
      <c r="N167" s="5" t="n"/>
      <c r="O167" s="5" t="n"/>
    </row>
    <row r="168">
      <c r="D168" s="5" t="n"/>
      <c r="H168" s="6" t="n"/>
      <c r="J168" s="8" t="n"/>
      <c r="K168" s="6" t="n"/>
      <c r="L168" s="9" t="n"/>
      <c r="M168" s="5" t="n"/>
      <c r="N168" s="5" t="n"/>
      <c r="O168" s="5" t="n"/>
    </row>
    <row r="169">
      <c r="D169" s="5" t="n"/>
      <c r="H169" s="6" t="n"/>
      <c r="J169" s="8" t="n"/>
      <c r="K169" s="6" t="n"/>
      <c r="L169" s="9" t="n"/>
      <c r="M169" s="5" t="n"/>
      <c r="N169" s="5" t="n"/>
      <c r="O169" s="5" t="n"/>
    </row>
    <row r="170">
      <c r="D170" s="5" t="n"/>
      <c r="H170" s="6" t="n"/>
      <c r="J170" s="8" t="n"/>
      <c r="K170" s="6" t="n"/>
      <c r="L170" s="9" t="n"/>
      <c r="M170" s="5" t="n"/>
      <c r="N170" s="5" t="n"/>
      <c r="O170" s="5" t="n"/>
    </row>
    <row r="171">
      <c r="D171" s="5" t="n"/>
      <c r="H171" s="6" t="n"/>
      <c r="J171" s="8" t="n"/>
      <c r="K171" s="6" t="n"/>
      <c r="L171" s="9" t="n"/>
      <c r="M171" s="5" t="n"/>
      <c r="N171" s="5" t="n"/>
      <c r="O171" s="5" t="n"/>
    </row>
    <row r="172">
      <c r="D172" s="5" t="n"/>
      <c r="H172" s="6" t="n"/>
      <c r="J172" s="8" t="n"/>
      <c r="K172" s="6" t="n"/>
      <c r="L172" s="9" t="n"/>
      <c r="M172" s="5" t="n"/>
      <c r="N172" s="5" t="n"/>
      <c r="O172" s="5" t="n"/>
    </row>
    <row r="173">
      <c r="D173" s="5" t="n"/>
      <c r="H173" s="6" t="n"/>
      <c r="J173" s="8" t="n"/>
      <c r="K173" s="6" t="n"/>
      <c r="L173" s="9" t="n"/>
      <c r="M173" s="5" t="n"/>
      <c r="N173" s="5" t="n"/>
      <c r="O173" s="5" t="n"/>
    </row>
    <row r="174">
      <c r="D174" s="5" t="n"/>
      <c r="H174" s="6" t="n"/>
      <c r="J174" s="8" t="n"/>
      <c r="K174" s="6" t="n"/>
      <c r="L174" s="9" t="n"/>
      <c r="M174" s="5" t="n"/>
      <c r="N174" s="5" t="n"/>
      <c r="O174" s="5" t="n"/>
    </row>
    <row r="175">
      <c r="D175" s="5" t="n"/>
      <c r="H175" s="6" t="n"/>
      <c r="J175" s="8" t="n"/>
      <c r="K175" s="6" t="n"/>
      <c r="L175" s="9" t="n"/>
      <c r="M175" s="5" t="n"/>
      <c r="N175" s="5" t="n"/>
      <c r="O175" s="5" t="n"/>
    </row>
    <row r="176">
      <c r="D176" s="5" t="n"/>
      <c r="H176" s="6" t="n"/>
      <c r="J176" s="8" t="n"/>
      <c r="K176" s="6" t="n"/>
      <c r="L176" s="9" t="n"/>
      <c r="M176" s="5" t="n"/>
      <c r="N176" s="5" t="n"/>
      <c r="O176" s="5" t="n"/>
    </row>
    <row r="177">
      <c r="D177" s="5" t="n"/>
      <c r="H177" s="6" t="n"/>
      <c r="J177" s="8" t="n"/>
      <c r="K177" s="6" t="n"/>
      <c r="L177" s="9" t="n"/>
      <c r="M177" s="5" t="n"/>
      <c r="N177" s="5" t="n"/>
      <c r="O177" s="5" t="n"/>
    </row>
    <row r="178">
      <c r="D178" s="5" t="n"/>
      <c r="H178" s="6" t="n"/>
      <c r="J178" s="8" t="n"/>
      <c r="K178" s="6" t="n"/>
      <c r="L178" s="9" t="n"/>
      <c r="M178" s="5" t="n"/>
      <c r="N178" s="5" t="n"/>
      <c r="O178" s="5" t="n"/>
    </row>
    <row r="179">
      <c r="D179" s="5" t="n"/>
      <c r="H179" s="6" t="n"/>
      <c r="J179" s="8" t="n"/>
      <c r="K179" s="6" t="n"/>
      <c r="L179" s="9" t="n"/>
      <c r="M179" s="5" t="n"/>
      <c r="N179" s="5" t="n"/>
      <c r="O179" s="5" t="n"/>
    </row>
    <row r="180">
      <c r="D180" s="5" t="n"/>
      <c r="H180" s="6" t="n"/>
      <c r="J180" s="8" t="n"/>
      <c r="K180" s="6" t="n"/>
      <c r="L180" s="9" t="n"/>
      <c r="M180" s="5" t="n"/>
      <c r="N180" s="5" t="n"/>
      <c r="O180" s="5" t="n"/>
    </row>
    <row r="181">
      <c r="D181" s="5" t="n"/>
      <c r="H181" s="6" t="n"/>
      <c r="J181" s="8" t="n"/>
      <c r="K181" s="6" t="n"/>
      <c r="L181" s="9" t="n"/>
      <c r="M181" s="5" t="n"/>
      <c r="N181" s="5" t="n"/>
      <c r="O181" s="5" t="n"/>
    </row>
    <row r="182">
      <c r="D182" s="5" t="n"/>
      <c r="H182" s="6" t="n"/>
      <c r="J182" s="8" t="n"/>
      <c r="K182" s="6" t="n"/>
      <c r="L182" s="9" t="n"/>
      <c r="M182" s="5" t="n"/>
      <c r="N182" s="5" t="n"/>
      <c r="O182" s="5" t="n"/>
    </row>
    <row r="183">
      <c r="D183" s="5" t="n"/>
      <c r="H183" s="6" t="n"/>
      <c r="J183" s="8" t="n"/>
      <c r="K183" s="6" t="n"/>
      <c r="L183" s="9" t="n"/>
      <c r="M183" s="5" t="n"/>
      <c r="N183" s="5" t="n"/>
      <c r="O183" s="5" t="n"/>
    </row>
    <row r="184">
      <c r="D184" s="5" t="n"/>
      <c r="H184" s="6" t="n"/>
      <c r="J184" s="8" t="n"/>
      <c r="K184" s="6" t="n"/>
      <c r="L184" s="9" t="n"/>
      <c r="M184" s="5" t="n"/>
      <c r="N184" s="5" t="n"/>
      <c r="O184" s="5" t="n"/>
    </row>
    <row r="185">
      <c r="D185" s="5" t="n"/>
      <c r="H185" s="6" t="n"/>
      <c r="J185" s="8" t="n"/>
      <c r="K185" s="6" t="n"/>
      <c r="L185" s="9" t="n"/>
      <c r="M185" s="5" t="n"/>
      <c r="N185" s="5" t="n"/>
      <c r="O185" s="5" t="n"/>
    </row>
    <row r="186">
      <c r="D186" s="5" t="n"/>
      <c r="H186" s="6" t="n"/>
      <c r="J186" s="8" t="n"/>
      <c r="K186" s="6" t="n"/>
      <c r="L186" s="9" t="n"/>
      <c r="M186" s="5" t="n"/>
      <c r="N186" s="5" t="n"/>
      <c r="O186" s="5" t="n"/>
    </row>
    <row r="187">
      <c r="D187" s="5" t="n"/>
      <c r="H187" s="6" t="n"/>
      <c r="J187" s="8" t="n"/>
      <c r="K187" s="6" t="n"/>
      <c r="L187" s="9" t="n"/>
      <c r="M187" s="5" t="n"/>
      <c r="N187" s="5" t="n"/>
      <c r="O187" s="5" t="n"/>
    </row>
    <row r="188">
      <c r="D188" s="5" t="n"/>
      <c r="H188" s="6" t="n"/>
      <c r="J188" s="8" t="n"/>
      <c r="K188" s="6" t="n"/>
      <c r="L188" s="9" t="n"/>
      <c r="M188" s="5" t="n"/>
      <c r="N188" s="5" t="n"/>
      <c r="O188" s="5" t="n"/>
    </row>
    <row r="189">
      <c r="D189" s="5" t="n"/>
      <c r="H189" s="6" t="n"/>
      <c r="J189" s="8" t="n"/>
      <c r="K189" s="6" t="n"/>
      <c r="L189" s="9" t="n"/>
      <c r="M189" s="5" t="n"/>
      <c r="N189" s="5" t="n"/>
      <c r="O189" s="5" t="n"/>
    </row>
    <row r="190">
      <c r="D190" s="5" t="n"/>
      <c r="H190" s="6" t="n"/>
      <c r="J190" s="8" t="n"/>
      <c r="K190" s="6" t="n"/>
      <c r="L190" s="9" t="n"/>
      <c r="M190" s="5" t="n"/>
      <c r="N190" s="5" t="n"/>
      <c r="O190" s="5" t="n"/>
    </row>
    <row r="191">
      <c r="D191" s="5" t="n"/>
      <c r="H191" s="6" t="n"/>
      <c r="J191" s="8" t="n"/>
      <c r="K191" s="6" t="n"/>
      <c r="L191" s="9" t="n"/>
      <c r="M191" s="5" t="n"/>
      <c r="N191" s="5" t="n"/>
      <c r="O191" s="5" t="n"/>
    </row>
    <row r="192">
      <c r="D192" s="5" t="n"/>
      <c r="H192" s="6" t="n"/>
      <c r="J192" s="8" t="n"/>
      <c r="K192" s="6" t="n"/>
      <c r="L192" s="9" t="n"/>
      <c r="M192" s="5" t="n"/>
      <c r="N192" s="5" t="n"/>
      <c r="O192" s="5" t="n"/>
    </row>
    <row r="193">
      <c r="D193" s="5" t="n"/>
      <c r="H193" s="6" t="n"/>
      <c r="J193" s="8" t="n"/>
      <c r="K193" s="6" t="n"/>
      <c r="L193" s="9" t="n"/>
      <c r="M193" s="5" t="n"/>
      <c r="N193" s="5" t="n"/>
      <c r="O193" s="5" t="n"/>
    </row>
    <row r="194">
      <c r="D194" s="5" t="n"/>
      <c r="H194" s="6" t="n"/>
      <c r="J194" s="8" t="n"/>
      <c r="K194" s="6" t="n"/>
      <c r="L194" s="9" t="n"/>
      <c r="M194" s="5" t="n"/>
      <c r="N194" s="5" t="n"/>
      <c r="O194" s="5" t="n"/>
    </row>
    <row r="195">
      <c r="D195" s="5" t="n"/>
      <c r="H195" s="6" t="n"/>
      <c r="J195" s="8" t="n"/>
      <c r="K195" s="6" t="n"/>
      <c r="L195" s="9" t="n"/>
      <c r="M195" s="5" t="n"/>
      <c r="N195" s="5" t="n"/>
      <c r="O195" s="5" t="n"/>
    </row>
    <row r="196">
      <c r="D196" s="5" t="n"/>
      <c r="H196" s="6" t="n"/>
      <c r="J196" s="8" t="n"/>
      <c r="K196" s="6" t="n"/>
      <c r="L196" s="9" t="n"/>
      <c r="M196" s="5" t="n"/>
      <c r="N196" s="5" t="n"/>
      <c r="O196" s="5" t="n"/>
    </row>
    <row r="197">
      <c r="D197" s="5" t="n"/>
      <c r="H197" s="6" t="n"/>
      <c r="J197" s="8" t="n"/>
      <c r="K197" s="6" t="n"/>
      <c r="L197" s="9" t="n"/>
      <c r="M197" s="5" t="n"/>
      <c r="N197" s="5" t="n"/>
      <c r="O197" s="5" t="n"/>
    </row>
    <row r="198">
      <c r="D198" s="5" t="n"/>
      <c r="H198" s="6" t="n"/>
      <c r="J198" s="8" t="n"/>
      <c r="K198" s="6" t="n"/>
      <c r="L198" s="9" t="n"/>
      <c r="M198" s="5" t="n"/>
      <c r="N198" s="5" t="n"/>
      <c r="O198" s="5" t="n"/>
    </row>
    <row r="199">
      <c r="D199" s="5" t="n"/>
      <c r="H199" s="6" t="n"/>
      <c r="J199" s="8" t="n"/>
      <c r="K199" s="6" t="n"/>
      <c r="L199" s="9" t="n"/>
      <c r="M199" s="5" t="n"/>
      <c r="N199" s="5" t="n"/>
      <c r="O199" s="5" t="n"/>
    </row>
    <row r="200">
      <c r="D200" s="5" t="n"/>
      <c r="H200" s="6" t="n"/>
      <c r="J200" s="8" t="n"/>
      <c r="K200" s="6" t="n"/>
      <c r="L200" s="9" t="n"/>
      <c r="M200" s="5" t="n"/>
      <c r="N200" s="5" t="n"/>
      <c r="O200" s="5" t="n"/>
    </row>
    <row r="201">
      <c r="D201" s="5" t="n"/>
      <c r="H201" s="6" t="n"/>
      <c r="J201" s="8" t="n"/>
      <c r="K201" s="6" t="n"/>
      <c r="L201" s="9" t="n"/>
      <c r="M201" s="5" t="n"/>
      <c r="N201" s="5" t="n"/>
      <c r="O201" s="5" t="n"/>
    </row>
    <row r="202">
      <c r="D202" s="5" t="n"/>
      <c r="H202" s="6" t="n"/>
      <c r="J202" s="8" t="n"/>
      <c r="K202" s="6" t="n"/>
      <c r="L202" s="9" t="n"/>
      <c r="M202" s="5" t="n"/>
      <c r="N202" s="5" t="n"/>
      <c r="O202" s="5" t="n"/>
    </row>
    <row r="203">
      <c r="D203" s="5" t="n"/>
      <c r="H203" s="6" t="n"/>
      <c r="J203" s="8" t="n"/>
      <c r="K203" s="6" t="n"/>
      <c r="L203" s="9" t="n"/>
      <c r="M203" s="5" t="n"/>
      <c r="N203" s="5" t="n"/>
      <c r="O203" s="5" t="n"/>
    </row>
    <row r="204">
      <c r="D204" s="5" t="n"/>
      <c r="H204" s="6" t="n"/>
      <c r="J204" s="8" t="n"/>
      <c r="K204" s="6" t="n"/>
      <c r="L204" s="9" t="n"/>
      <c r="M204" s="5" t="n"/>
      <c r="N204" s="5" t="n"/>
      <c r="O204" s="5" t="n"/>
    </row>
    <row r="205">
      <c r="D205" s="5" t="n"/>
      <c r="H205" s="6" t="n"/>
      <c r="J205" s="8" t="n"/>
      <c r="K205" s="6" t="n"/>
      <c r="L205" s="9" t="n"/>
      <c r="M205" s="5" t="n"/>
      <c r="N205" s="5" t="n"/>
      <c r="O205" s="5" t="n"/>
    </row>
    <row r="206">
      <c r="D206" s="5" t="n"/>
      <c r="H206" s="6" t="n"/>
      <c r="J206" s="8" t="n"/>
      <c r="K206" s="6" t="n"/>
      <c r="L206" s="9" t="n"/>
      <c r="M206" s="5" t="n"/>
      <c r="N206" s="5" t="n"/>
      <c r="O206" s="5" t="n"/>
    </row>
    <row r="207">
      <c r="D207" s="5" t="n"/>
      <c r="H207" s="6" t="n"/>
      <c r="J207" s="8" t="n"/>
      <c r="K207" s="6" t="n"/>
      <c r="L207" s="9" t="n"/>
      <c r="M207" s="5" t="n"/>
      <c r="N207" s="5" t="n"/>
      <c r="O207" s="5" t="n"/>
    </row>
    <row r="208">
      <c r="D208" s="5" t="n"/>
      <c r="H208" s="6" t="n"/>
      <c r="J208" s="8" t="n"/>
      <c r="K208" s="6" t="n"/>
      <c r="L208" s="9" t="n"/>
      <c r="M208" s="5" t="n"/>
      <c r="N208" s="5" t="n"/>
      <c r="O208" s="5" t="n"/>
    </row>
    <row r="209">
      <c r="D209" s="5" t="n"/>
      <c r="H209" s="6" t="n"/>
      <c r="J209" s="8" t="n"/>
      <c r="K209" s="6" t="n"/>
      <c r="L209" s="9" t="n"/>
      <c r="M209" s="5" t="n"/>
      <c r="N209" s="5" t="n"/>
      <c r="O209" s="5" t="n"/>
    </row>
    <row r="210">
      <c r="D210" s="5" t="n"/>
      <c r="H210" s="6" t="n"/>
      <c r="J210" s="8" t="n"/>
      <c r="K210" s="6" t="n"/>
      <c r="L210" s="9" t="n"/>
      <c r="M210" s="5" t="n"/>
      <c r="N210" s="5" t="n"/>
      <c r="O210" s="5" t="n"/>
    </row>
    <row r="211">
      <c r="D211" s="5" t="n"/>
      <c r="H211" s="6" t="n"/>
      <c r="J211" s="8" t="n"/>
      <c r="K211" s="6" t="n"/>
      <c r="L211" s="9" t="n"/>
      <c r="M211" s="5" t="n"/>
      <c r="N211" s="5" t="n"/>
      <c r="O211" s="5" t="n"/>
    </row>
    <row r="212">
      <c r="D212" s="5" t="n"/>
      <c r="H212" s="6" t="n"/>
      <c r="J212" s="8" t="n"/>
      <c r="K212" s="6" t="n"/>
      <c r="L212" s="9" t="n"/>
      <c r="M212" s="5" t="n"/>
      <c r="N212" s="5" t="n"/>
      <c r="O212" s="5" t="n"/>
    </row>
    <row r="213">
      <c r="D213" s="5" t="n"/>
      <c r="H213" s="6" t="n"/>
      <c r="J213" s="8" t="n"/>
      <c r="K213" s="6" t="n"/>
      <c r="L213" s="9" t="n"/>
      <c r="M213" s="5" t="n"/>
      <c r="N213" s="5" t="n"/>
      <c r="O213" s="5" t="n"/>
    </row>
    <row r="214">
      <c r="D214" s="5" t="n"/>
      <c r="H214" s="6" t="n"/>
      <c r="J214" s="8" t="n"/>
      <c r="K214" s="6" t="n"/>
      <c r="L214" s="9" t="n"/>
      <c r="M214" s="5" t="n"/>
      <c r="N214" s="5" t="n"/>
      <c r="O214" s="5" t="n"/>
    </row>
    <row r="215">
      <c r="D215" s="5" t="n"/>
      <c r="H215" s="6" t="n"/>
      <c r="J215" s="8" t="n"/>
      <c r="K215" s="6" t="n"/>
      <c r="L215" s="9" t="n"/>
      <c r="M215" s="5" t="n"/>
      <c r="N215" s="5" t="n"/>
      <c r="O215" s="5" t="n"/>
    </row>
    <row r="216">
      <c r="D216" s="5" t="n"/>
      <c r="H216" s="6" t="n"/>
      <c r="J216" s="8" t="n"/>
      <c r="K216" s="6" t="n"/>
      <c r="L216" s="9" t="n"/>
      <c r="M216" s="5" t="n"/>
      <c r="N216" s="5" t="n"/>
      <c r="O216" s="5" t="n"/>
    </row>
    <row r="217">
      <c r="D217" s="5" t="n"/>
      <c r="H217" s="6" t="n"/>
      <c r="J217" s="8" t="n"/>
      <c r="K217" s="6" t="n"/>
      <c r="L217" s="9" t="n"/>
      <c r="M217" s="5" t="n"/>
      <c r="N217" s="5" t="n"/>
      <c r="O217" s="5" t="n"/>
    </row>
    <row r="218">
      <c r="D218" s="5" t="n"/>
      <c r="H218" s="6" t="n"/>
      <c r="J218" s="8" t="n"/>
      <c r="K218" s="6" t="n"/>
      <c r="L218" s="9" t="n"/>
      <c r="M218" s="5" t="n"/>
      <c r="N218" s="5" t="n"/>
      <c r="O218" s="5" t="n"/>
    </row>
    <row r="219">
      <c r="D219" s="5" t="n"/>
      <c r="H219" s="6" t="n"/>
      <c r="J219" s="8" t="n"/>
      <c r="K219" s="6" t="n"/>
      <c r="L219" s="9" t="n"/>
      <c r="M219" s="5" t="n"/>
      <c r="N219" s="5" t="n"/>
      <c r="O219" s="5" t="n"/>
    </row>
    <row r="220">
      <c r="D220" s="5" t="n"/>
      <c r="H220" s="6" t="n"/>
      <c r="J220" s="8" t="n"/>
      <c r="K220" s="6" t="n"/>
      <c r="L220" s="9" t="n"/>
      <c r="M220" s="5" t="n"/>
      <c r="N220" s="5" t="n"/>
      <c r="O220" s="5" t="n"/>
    </row>
    <row r="221">
      <c r="D221" s="5" t="n"/>
      <c r="H221" s="6" t="n"/>
      <c r="J221" s="8" t="n"/>
      <c r="K221" s="6" t="n"/>
      <c r="L221" s="9" t="n"/>
      <c r="M221" s="5" t="n"/>
      <c r="N221" s="5" t="n"/>
      <c r="O221" s="5" t="n"/>
    </row>
    <row r="222">
      <c r="D222" s="5" t="n"/>
      <c r="H222" s="6" t="n"/>
      <c r="J222" s="8" t="n"/>
      <c r="K222" s="6" t="n"/>
      <c r="L222" s="9" t="n"/>
      <c r="M222" s="5" t="n"/>
      <c r="N222" s="5" t="n"/>
      <c r="O222" s="5" t="n"/>
    </row>
    <row r="223">
      <c r="D223" s="5" t="n"/>
      <c r="H223" s="6" t="n"/>
      <c r="J223" s="8" t="n"/>
      <c r="K223" s="6" t="n"/>
      <c r="L223" s="9" t="n"/>
      <c r="M223" s="5" t="n"/>
      <c r="N223" s="5" t="n"/>
      <c r="O223" s="5" t="n"/>
    </row>
    <row r="224">
      <c r="D224" s="5" t="n"/>
      <c r="H224" s="6" t="n"/>
      <c r="J224" s="8" t="n"/>
      <c r="K224" s="6" t="n"/>
      <c r="L224" s="9" t="n"/>
      <c r="M224" s="5" t="n"/>
      <c r="N224" s="5" t="n"/>
      <c r="O224" s="5" t="n"/>
    </row>
    <row r="225">
      <c r="D225" s="5" t="n"/>
      <c r="H225" s="6" t="n"/>
      <c r="J225" s="8" t="n"/>
      <c r="K225" s="6" t="n"/>
      <c r="L225" s="9" t="n"/>
      <c r="M225" s="5" t="n"/>
      <c r="N225" s="5" t="n"/>
      <c r="O225" s="5" t="n"/>
    </row>
    <row r="226">
      <c r="D226" s="5" t="n"/>
      <c r="H226" s="6" t="n"/>
      <c r="J226" s="8" t="n"/>
      <c r="K226" s="6" t="n"/>
      <c r="L226" s="9" t="n"/>
      <c r="M226" s="5" t="n"/>
      <c r="N226" s="5" t="n"/>
      <c r="O226" s="5" t="n"/>
    </row>
    <row r="227">
      <c r="D227" s="5" t="n"/>
      <c r="H227" s="6" t="n"/>
      <c r="J227" s="8" t="n"/>
      <c r="K227" s="6" t="n"/>
      <c r="L227" s="9" t="n"/>
      <c r="M227" s="5" t="n"/>
      <c r="N227" s="5" t="n"/>
      <c r="O227" s="5" t="n"/>
    </row>
    <row r="228">
      <c r="D228" s="5" t="n"/>
      <c r="H228" s="6" t="n"/>
      <c r="J228" s="8" t="n"/>
      <c r="K228" s="6" t="n"/>
      <c r="L228" s="9" t="n"/>
      <c r="M228" s="5" t="n"/>
      <c r="N228" s="5" t="n"/>
      <c r="O228" s="5" t="n"/>
    </row>
    <row r="229">
      <c r="D229" s="5" t="n"/>
      <c r="H229" s="6" t="n"/>
      <c r="J229" s="8" t="n"/>
      <c r="K229" s="6" t="n"/>
      <c r="L229" s="9" t="n"/>
      <c r="M229" s="5" t="n"/>
      <c r="N229" s="5" t="n"/>
      <c r="O229" s="5" t="n"/>
    </row>
    <row r="230">
      <c r="D230" s="5" t="n"/>
      <c r="H230" s="6" t="n"/>
      <c r="J230" s="8" t="n"/>
      <c r="K230" s="6" t="n"/>
      <c r="L230" s="9" t="n"/>
      <c r="M230" s="5" t="n"/>
      <c r="N230" s="5" t="n"/>
      <c r="O230" s="5" t="n"/>
    </row>
    <row r="231">
      <c r="D231" s="5" t="n"/>
      <c r="H231" s="6" t="n"/>
      <c r="J231" s="8" t="n"/>
      <c r="K231" s="6" t="n"/>
      <c r="L231" s="9" t="n"/>
      <c r="M231" s="5" t="n"/>
      <c r="N231" s="5" t="n"/>
      <c r="O231" s="5" t="n"/>
    </row>
    <row r="232">
      <c r="D232" s="5" t="n"/>
      <c r="H232" s="6" t="n"/>
      <c r="J232" s="8" t="n"/>
      <c r="K232" s="6" t="n"/>
      <c r="L232" s="9" t="n"/>
      <c r="M232" s="5" t="n"/>
      <c r="N232" s="5" t="n"/>
      <c r="O232" s="5" t="n"/>
    </row>
    <row r="233">
      <c r="D233" s="5" t="n"/>
      <c r="H233" s="6" t="n"/>
      <c r="J233" s="8" t="n"/>
      <c r="K233" s="6" t="n"/>
      <c r="L233" s="9" t="n"/>
      <c r="M233" s="5" t="n"/>
      <c r="N233" s="5" t="n"/>
      <c r="O233" s="5" t="n"/>
    </row>
    <row r="234">
      <c r="D234" s="5" t="n"/>
      <c r="H234" s="6" t="n"/>
      <c r="J234" s="8" t="n"/>
      <c r="K234" s="6" t="n"/>
      <c r="L234" s="9" t="n"/>
      <c r="M234" s="5" t="n"/>
      <c r="N234" s="5" t="n"/>
      <c r="O234" s="5" t="n"/>
    </row>
    <row r="235">
      <c r="D235" s="5" t="n"/>
      <c r="H235" s="6" t="n"/>
      <c r="J235" s="8" t="n"/>
      <c r="K235" s="6" t="n"/>
      <c r="L235" s="9" t="n"/>
      <c r="M235" s="5" t="n"/>
      <c r="N235" s="5" t="n"/>
      <c r="O235" s="5" t="n"/>
    </row>
    <row r="236">
      <c r="D236" s="5" t="n"/>
      <c r="H236" s="6" t="n"/>
      <c r="J236" s="8" t="n"/>
      <c r="K236" s="6" t="n"/>
      <c r="L236" s="9" t="n"/>
      <c r="M236" s="5" t="n"/>
      <c r="N236" s="5" t="n"/>
      <c r="O236" s="5" t="n"/>
    </row>
    <row r="237">
      <c r="D237" s="5" t="n"/>
      <c r="H237" s="6" t="n"/>
      <c r="J237" s="8" t="n"/>
      <c r="K237" s="6" t="n"/>
      <c r="L237" s="9" t="n"/>
      <c r="M237" s="5" t="n"/>
      <c r="N237" s="5" t="n"/>
      <c r="O237" s="5" t="n"/>
    </row>
    <row r="238">
      <c r="D238" s="5" t="n"/>
      <c r="H238" s="6" t="n"/>
      <c r="J238" s="8" t="n"/>
      <c r="K238" s="6" t="n"/>
      <c r="L238" s="9" t="n"/>
      <c r="M238" s="5" t="n"/>
      <c r="N238" s="5" t="n"/>
      <c r="O238" s="5" t="n"/>
    </row>
    <row r="239">
      <c r="D239" s="5" t="n"/>
      <c r="H239" s="6" t="n"/>
      <c r="J239" s="8" t="n"/>
      <c r="K239" s="6" t="n"/>
      <c r="L239" s="9" t="n"/>
      <c r="M239" s="5" t="n"/>
      <c r="N239" s="5" t="n"/>
      <c r="O239" s="5" t="n"/>
    </row>
    <row r="240">
      <c r="D240" s="5" t="n"/>
      <c r="H240" s="6" t="n"/>
      <c r="J240" s="8" t="n"/>
      <c r="K240" s="6" t="n"/>
      <c r="L240" s="9" t="n"/>
      <c r="M240" s="5" t="n"/>
      <c r="N240" s="5" t="n"/>
      <c r="O240" s="5" t="n"/>
    </row>
    <row r="241">
      <c r="D241" s="5" t="n"/>
      <c r="H241" s="6" t="n"/>
      <c r="J241" s="8" t="n"/>
      <c r="K241" s="6" t="n"/>
      <c r="L241" s="9" t="n"/>
      <c r="M241" s="5" t="n"/>
      <c r="N241" s="5" t="n"/>
      <c r="O241" s="5" t="n"/>
    </row>
    <row r="242">
      <c r="D242" s="5" t="n"/>
      <c r="H242" s="6" t="n"/>
      <c r="J242" s="8" t="n"/>
      <c r="K242" s="6" t="n"/>
      <c r="L242" s="9" t="n"/>
      <c r="M242" s="5" t="n"/>
      <c r="N242" s="5" t="n"/>
      <c r="O242" s="5" t="n"/>
    </row>
    <row r="243">
      <c r="D243" s="5" t="n"/>
      <c r="H243" s="6" t="n"/>
      <c r="J243" s="8" t="n"/>
      <c r="K243" s="6" t="n"/>
      <c r="L243" s="9" t="n"/>
      <c r="M243" s="5" t="n"/>
      <c r="N243" s="5" t="n"/>
      <c r="O243" s="5" t="n"/>
    </row>
    <row r="244">
      <c r="D244" s="5" t="n"/>
      <c r="H244" s="6" t="n"/>
      <c r="J244" s="8" t="n"/>
      <c r="K244" s="6" t="n"/>
      <c r="L244" s="9" t="n"/>
      <c r="M244" s="5" t="n"/>
      <c r="N244" s="5" t="n"/>
      <c r="O244" s="5" t="n"/>
    </row>
    <row r="245">
      <c r="D245" s="5" t="n"/>
      <c r="H245" s="6" t="n"/>
      <c r="J245" s="8" t="n"/>
      <c r="K245" s="6" t="n"/>
      <c r="L245" s="9" t="n"/>
      <c r="M245" s="5" t="n"/>
      <c r="N245" s="5" t="n"/>
      <c r="O245" s="5" t="n"/>
    </row>
    <row r="246">
      <c r="D246" s="5" t="n"/>
      <c r="H246" s="6" t="n"/>
      <c r="J246" s="8" t="n"/>
      <c r="K246" s="6" t="n"/>
      <c r="L246" s="9" t="n"/>
      <c r="M246" s="5" t="n"/>
      <c r="N246" s="5" t="n"/>
      <c r="O246" s="5" t="n"/>
    </row>
    <row r="247">
      <c r="D247" s="5" t="n"/>
      <c r="H247" s="6" t="n"/>
      <c r="J247" s="8" t="n"/>
      <c r="K247" s="6" t="n"/>
      <c r="L247" s="9" t="n"/>
      <c r="M247" s="5" t="n"/>
      <c r="N247" s="5" t="n"/>
      <c r="O247" s="5" t="n"/>
    </row>
    <row r="248">
      <c r="D248" s="5" t="n"/>
      <c r="H248" s="6" t="n"/>
      <c r="J248" s="8" t="n"/>
      <c r="K248" s="6" t="n"/>
      <c r="L248" s="9" t="n"/>
      <c r="M248" s="5" t="n"/>
      <c r="N248" s="5" t="n"/>
      <c r="O248" s="5" t="n"/>
    </row>
    <row r="249">
      <c r="D249" s="5" t="n"/>
      <c r="H249" s="6" t="n"/>
      <c r="J249" s="8" t="n"/>
      <c r="K249" s="6" t="n"/>
      <c r="L249" s="9" t="n"/>
      <c r="M249" s="5" t="n"/>
      <c r="N249" s="5" t="n"/>
      <c r="O249" s="5" t="n"/>
    </row>
    <row r="250">
      <c r="D250" s="5" t="n"/>
      <c r="H250" s="6" t="n"/>
      <c r="J250" s="8" t="n"/>
      <c r="K250" s="6" t="n"/>
      <c r="L250" s="9" t="n"/>
      <c r="M250" s="5" t="n"/>
      <c r="N250" s="5" t="n"/>
      <c r="O250" s="5" t="n"/>
    </row>
    <row r="251">
      <c r="D251" s="5" t="n"/>
      <c r="H251" s="6" t="n"/>
      <c r="J251" s="8" t="n"/>
      <c r="K251" s="6" t="n"/>
      <c r="L251" s="9" t="n"/>
      <c r="M251" s="5" t="n"/>
      <c r="N251" s="5" t="n"/>
      <c r="O251" s="5" t="n"/>
    </row>
    <row r="252">
      <c r="D252" s="5" t="n"/>
      <c r="H252" s="6" t="n"/>
      <c r="J252" s="8" t="n"/>
      <c r="K252" s="6" t="n"/>
      <c r="L252" s="9" t="n"/>
      <c r="M252" s="5" t="n"/>
      <c r="N252" s="5" t="n"/>
      <c r="O252" s="5" t="n"/>
    </row>
    <row r="253">
      <c r="D253" s="5" t="n"/>
      <c r="H253" s="6" t="n"/>
      <c r="J253" s="8" t="n"/>
      <c r="K253" s="6" t="n"/>
      <c r="L253" s="9" t="n"/>
      <c r="M253" s="5" t="n"/>
      <c r="N253" s="5" t="n"/>
      <c r="O253" s="5" t="n"/>
    </row>
    <row r="254">
      <c r="D254" s="5" t="n"/>
      <c r="H254" s="6" t="n"/>
      <c r="J254" s="8" t="n"/>
      <c r="K254" s="6" t="n"/>
      <c r="L254" s="9" t="n"/>
      <c r="M254" s="5" t="n"/>
      <c r="N254" s="5" t="n"/>
      <c r="O254" s="5" t="n"/>
    </row>
    <row r="255">
      <c r="D255" s="5" t="n"/>
      <c r="H255" s="6" t="n"/>
      <c r="J255" s="8" t="n"/>
      <c r="K255" s="6" t="n"/>
      <c r="L255" s="9" t="n"/>
      <c r="M255" s="5" t="n"/>
      <c r="N255" s="5" t="n"/>
      <c r="O255" s="5" t="n"/>
    </row>
    <row r="256">
      <c r="D256" s="5" t="n"/>
      <c r="H256" s="6" t="n"/>
      <c r="J256" s="8" t="n"/>
      <c r="K256" s="6" t="n"/>
      <c r="L256" s="9" t="n"/>
      <c r="M256" s="5" t="n"/>
      <c r="N256" s="5" t="n"/>
      <c r="O256" s="5" t="n"/>
    </row>
    <row r="257">
      <c r="D257" s="5" t="n"/>
      <c r="H257" s="6" t="n"/>
      <c r="J257" s="8" t="n"/>
      <c r="K257" s="6" t="n"/>
      <c r="L257" s="9" t="n"/>
      <c r="M257" s="5" t="n"/>
      <c r="N257" s="5" t="n"/>
      <c r="O257" s="5" t="n"/>
    </row>
    <row r="258">
      <c r="D258" s="5" t="n"/>
      <c r="H258" s="6" t="n"/>
      <c r="J258" s="8" t="n"/>
      <c r="K258" s="6" t="n"/>
      <c r="L258" s="9" t="n"/>
      <c r="M258" s="5" t="n"/>
      <c r="N258" s="5" t="n"/>
      <c r="O258" s="5" t="n"/>
    </row>
    <row r="259">
      <c r="D259" s="5" t="n"/>
      <c r="H259" s="6" t="n"/>
      <c r="J259" s="8" t="n"/>
      <c r="K259" s="6" t="n"/>
      <c r="L259" s="9" t="n"/>
      <c r="M259" s="5" t="n"/>
      <c r="N259" s="5" t="n"/>
      <c r="O259" s="5" t="n"/>
    </row>
    <row r="260">
      <c r="D260" s="5" t="n"/>
      <c r="H260" s="6" t="n"/>
      <c r="J260" s="8" t="n"/>
      <c r="K260" s="6" t="n"/>
      <c r="L260" s="9" t="n"/>
      <c r="M260" s="5" t="n"/>
      <c r="N260" s="5" t="n"/>
      <c r="O260" s="5" t="n"/>
    </row>
    <row r="261">
      <c r="D261" s="5" t="n"/>
      <c r="H261" s="6" t="n"/>
      <c r="J261" s="8" t="n"/>
      <c r="K261" s="6" t="n"/>
      <c r="L261" s="9" t="n"/>
      <c r="M261" s="5" t="n"/>
      <c r="N261" s="5" t="n"/>
      <c r="O261" s="5" t="n"/>
    </row>
    <row r="262">
      <c r="D262" s="5" t="n"/>
      <c r="H262" s="6" t="n"/>
      <c r="J262" s="8" t="n"/>
      <c r="K262" s="6" t="n"/>
      <c r="L262" s="9" t="n"/>
      <c r="M262" s="5" t="n"/>
      <c r="N262" s="5" t="n"/>
      <c r="O262" s="5" t="n"/>
    </row>
    <row r="263">
      <c r="D263" s="5" t="n"/>
      <c r="H263" s="6" t="n"/>
      <c r="J263" s="8" t="n"/>
      <c r="K263" s="6" t="n"/>
      <c r="L263" s="9" t="n"/>
      <c r="M263" s="5" t="n"/>
      <c r="N263" s="5" t="n"/>
      <c r="O263" s="5" t="n"/>
    </row>
    <row r="264">
      <c r="D264" s="5" t="n"/>
      <c r="H264" s="6" t="n"/>
      <c r="J264" s="8" t="n"/>
      <c r="K264" s="6" t="n"/>
      <c r="L264" s="9" t="n"/>
      <c r="M264" s="5" t="n"/>
      <c r="N264" s="5" t="n"/>
      <c r="O264" s="5" t="n"/>
    </row>
    <row r="265">
      <c r="D265" s="5" t="n"/>
      <c r="H265" s="6" t="n"/>
      <c r="J265" s="8" t="n"/>
      <c r="K265" s="6" t="n"/>
      <c r="L265" s="9" t="n"/>
      <c r="M265" s="5" t="n"/>
      <c r="N265" s="5" t="n"/>
      <c r="O265" s="5" t="n"/>
    </row>
    <row r="266">
      <c r="D266" s="5" t="n"/>
      <c r="H266" s="6" t="n"/>
      <c r="J266" s="8" t="n"/>
      <c r="K266" s="6" t="n"/>
      <c r="L266" s="9" t="n"/>
      <c r="M266" s="5" t="n"/>
      <c r="N266" s="5" t="n"/>
      <c r="O266" s="5" t="n"/>
    </row>
    <row r="267">
      <c r="D267" s="5" t="n"/>
      <c r="H267" s="6" t="n"/>
      <c r="J267" s="8" t="n"/>
      <c r="K267" s="6" t="n"/>
      <c r="L267" s="9" t="n"/>
      <c r="M267" s="5" t="n"/>
      <c r="N267" s="5" t="n"/>
      <c r="O267" s="5" t="n"/>
    </row>
    <row r="268">
      <c r="D268" s="5" t="n"/>
      <c r="H268" s="6" t="n"/>
      <c r="J268" s="8" t="n"/>
      <c r="K268" s="6" t="n"/>
      <c r="L268" s="9" t="n"/>
      <c r="M268" s="5" t="n"/>
      <c r="N268" s="5" t="n"/>
      <c r="O268" s="5" t="n"/>
    </row>
    <row r="269">
      <c r="D269" s="5" t="n"/>
      <c r="H269" s="6" t="n"/>
      <c r="J269" s="8" t="n"/>
      <c r="K269" s="6" t="n"/>
      <c r="L269" s="9" t="n"/>
      <c r="M269" s="5" t="n"/>
      <c r="N269" s="5" t="n"/>
      <c r="O269" s="5" t="n"/>
    </row>
    <row r="270">
      <c r="D270" s="5" t="n"/>
      <c r="H270" s="6" t="n"/>
      <c r="J270" s="8" t="n"/>
      <c r="K270" s="6" t="n"/>
      <c r="L270" s="9" t="n"/>
      <c r="M270" s="5" t="n"/>
      <c r="N270" s="5" t="n"/>
      <c r="O270" s="5" t="n"/>
    </row>
    <row r="271">
      <c r="D271" s="5" t="n"/>
      <c r="H271" s="6" t="n"/>
      <c r="J271" s="8" t="n"/>
      <c r="K271" s="6" t="n"/>
      <c r="L271" s="9" t="n"/>
      <c r="M271" s="5" t="n"/>
      <c r="N271" s="5" t="n"/>
      <c r="O271" s="5" t="n"/>
    </row>
    <row r="272">
      <c r="D272" s="5" t="n"/>
      <c r="H272" s="6" t="n"/>
      <c r="J272" s="8" t="n"/>
      <c r="K272" s="6" t="n"/>
      <c r="L272" s="9" t="n"/>
      <c r="M272" s="5" t="n"/>
      <c r="N272" s="5" t="n"/>
      <c r="O272" s="5" t="n"/>
    </row>
    <row r="273">
      <c r="D273" s="5" t="n"/>
      <c r="H273" s="6" t="n"/>
      <c r="J273" s="8" t="n"/>
      <c r="K273" s="6" t="n"/>
      <c r="L273" s="9" t="n"/>
      <c r="M273" s="5" t="n"/>
      <c r="N273" s="5" t="n"/>
      <c r="O273" s="5" t="n"/>
    </row>
    <row r="274">
      <c r="D274" s="5" t="n"/>
      <c r="H274" s="6" t="n"/>
      <c r="J274" s="8" t="n"/>
      <c r="K274" s="6" t="n"/>
      <c r="L274" s="9" t="n"/>
      <c r="M274" s="5" t="n"/>
      <c r="N274" s="5" t="n"/>
      <c r="O274" s="5" t="n"/>
    </row>
    <row r="275">
      <c r="D275" s="5" t="n"/>
      <c r="H275" s="6" t="n"/>
      <c r="J275" s="8" t="n"/>
      <c r="K275" s="6" t="n"/>
      <c r="L275" s="9" t="n"/>
      <c r="M275" s="5" t="n"/>
      <c r="N275" s="5" t="n"/>
      <c r="O275" s="5" t="n"/>
    </row>
    <row r="276">
      <c r="D276" s="5" t="n"/>
      <c r="H276" s="6" t="n"/>
      <c r="J276" s="8" t="n"/>
      <c r="K276" s="6" t="n"/>
      <c r="L276" s="9" t="n"/>
      <c r="M276" s="5" t="n"/>
      <c r="N276" s="5" t="n"/>
      <c r="O276" s="5" t="n"/>
    </row>
    <row r="277">
      <c r="D277" s="5" t="n"/>
      <c r="H277" s="6" t="n"/>
      <c r="J277" s="8" t="n"/>
      <c r="K277" s="6" t="n"/>
      <c r="L277" s="9" t="n"/>
      <c r="M277" s="5" t="n"/>
      <c r="N277" s="5" t="n"/>
      <c r="O277" s="5" t="n"/>
    </row>
    <row r="278">
      <c r="D278" s="5" t="n"/>
      <c r="H278" s="6" t="n"/>
      <c r="J278" s="8" t="n"/>
      <c r="K278" s="6" t="n"/>
      <c r="L278" s="9" t="n"/>
      <c r="M278" s="5" t="n"/>
      <c r="N278" s="5" t="n"/>
      <c r="O278" s="5" t="n"/>
    </row>
    <row r="279">
      <c r="D279" s="5" t="n"/>
      <c r="H279" s="6" t="n"/>
      <c r="J279" s="8" t="n"/>
      <c r="K279" s="6" t="n"/>
      <c r="L279" s="9" t="n"/>
      <c r="M279" s="5" t="n"/>
      <c r="N279" s="5" t="n"/>
      <c r="O279" s="5" t="n"/>
    </row>
    <row r="280">
      <c r="D280" s="5" t="n"/>
      <c r="H280" s="6" t="n"/>
      <c r="J280" s="8" t="n"/>
      <c r="K280" s="6" t="n"/>
      <c r="L280" s="9" t="n"/>
      <c r="M280" s="5" t="n"/>
      <c r="N280" s="5" t="n"/>
      <c r="O280" s="5" t="n"/>
    </row>
    <row r="281">
      <c r="D281" s="5" t="n"/>
      <c r="H281" s="6" t="n"/>
      <c r="J281" s="8" t="n"/>
      <c r="K281" s="6" t="n"/>
      <c r="L281" s="9" t="n"/>
      <c r="M281" s="5" t="n"/>
      <c r="N281" s="5" t="n"/>
      <c r="O281" s="5" t="n"/>
    </row>
    <row r="282">
      <c r="D282" s="5" t="n"/>
      <c r="H282" s="6" t="n"/>
      <c r="J282" s="8" t="n"/>
      <c r="K282" s="6" t="n"/>
      <c r="L282" s="9" t="n"/>
      <c r="M282" s="5" t="n"/>
      <c r="N282" s="5" t="n"/>
      <c r="O282" s="5" t="n"/>
    </row>
    <row r="283">
      <c r="D283" s="5" t="n"/>
      <c r="H283" s="6" t="n"/>
      <c r="J283" s="8" t="n"/>
      <c r="K283" s="6" t="n"/>
      <c r="L283" s="9" t="n"/>
      <c r="M283" s="5" t="n"/>
      <c r="N283" s="5" t="n"/>
      <c r="O283" s="5" t="n"/>
    </row>
    <row r="284">
      <c r="D284" s="5" t="n"/>
      <c r="H284" s="6" t="n"/>
      <c r="J284" s="8" t="n"/>
      <c r="K284" s="6" t="n"/>
      <c r="L284" s="9" t="n"/>
      <c r="M284" s="5" t="n"/>
      <c r="N284" s="5" t="n"/>
      <c r="O284" s="5" t="n"/>
    </row>
    <row r="285">
      <c r="D285" s="5" t="n"/>
      <c r="H285" s="6" t="n"/>
      <c r="J285" s="8" t="n"/>
      <c r="K285" s="6" t="n"/>
      <c r="L285" s="9" t="n"/>
      <c r="M285" s="5" t="n"/>
      <c r="N285" s="5" t="n"/>
      <c r="O285" s="5" t="n"/>
    </row>
    <row r="286">
      <c r="D286" s="5" t="n"/>
      <c r="H286" s="6" t="n"/>
      <c r="J286" s="8" t="n"/>
      <c r="K286" s="6" t="n"/>
      <c r="L286" s="9" t="n"/>
      <c r="M286" s="5" t="n"/>
      <c r="N286" s="5" t="n"/>
      <c r="O286" s="5" t="n"/>
    </row>
    <row r="287">
      <c r="D287" s="5" t="n"/>
      <c r="H287" s="6" t="n"/>
      <c r="J287" s="8" t="n"/>
      <c r="K287" s="6" t="n"/>
      <c r="L287" s="9" t="n"/>
      <c r="M287" s="5" t="n"/>
      <c r="N287" s="5" t="n"/>
      <c r="O287" s="5" t="n"/>
    </row>
    <row r="288">
      <c r="D288" s="5" t="n"/>
      <c r="H288" s="6" t="n"/>
      <c r="J288" s="8" t="n"/>
      <c r="K288" s="6" t="n"/>
      <c r="L288" s="9" t="n"/>
      <c r="M288" s="5" t="n"/>
      <c r="N288" s="5" t="n"/>
      <c r="O288" s="5" t="n"/>
    </row>
    <row r="289">
      <c r="D289" s="5" t="n"/>
      <c r="H289" s="6" t="n"/>
      <c r="J289" s="8" t="n"/>
      <c r="K289" s="6" t="n"/>
      <c r="L289" s="9" t="n"/>
      <c r="M289" s="5" t="n"/>
      <c r="N289" s="5" t="n"/>
      <c r="O289" s="5" t="n"/>
    </row>
    <row r="290">
      <c r="D290" s="5" t="n"/>
      <c r="H290" s="6" t="n"/>
      <c r="J290" s="8" t="n"/>
      <c r="K290" s="6" t="n"/>
      <c r="L290" s="9" t="n"/>
      <c r="M290" s="5" t="n"/>
      <c r="N290" s="5" t="n"/>
      <c r="O290" s="5" t="n"/>
    </row>
    <row r="291">
      <c r="D291" s="5" t="n"/>
      <c r="H291" s="6" t="n"/>
      <c r="J291" s="8" t="n"/>
      <c r="K291" s="6" t="n"/>
      <c r="L291" s="9" t="n"/>
      <c r="M291" s="5" t="n"/>
      <c r="N291" s="5" t="n"/>
      <c r="O291" s="5" t="n"/>
    </row>
    <row r="292">
      <c r="D292" s="5" t="n"/>
      <c r="H292" s="6" t="n"/>
      <c r="J292" s="8" t="n"/>
      <c r="K292" s="6" t="n"/>
      <c r="L292" s="9" t="n"/>
      <c r="M292" s="5" t="n"/>
      <c r="N292" s="5" t="n"/>
      <c r="O292" s="5" t="n"/>
    </row>
    <row r="293">
      <c r="D293" s="5" t="n"/>
      <c r="H293" s="6" t="n"/>
      <c r="J293" s="8" t="n"/>
      <c r="K293" s="6" t="n"/>
      <c r="L293" s="9" t="n"/>
      <c r="M293" s="5" t="n"/>
      <c r="N293" s="5" t="n"/>
      <c r="O293" s="5" t="n"/>
    </row>
    <row r="294">
      <c r="D294" s="5" t="n"/>
      <c r="H294" s="6" t="n"/>
      <c r="J294" s="8" t="n"/>
      <c r="K294" s="6" t="n"/>
      <c r="L294" s="9" t="n"/>
      <c r="M294" s="5" t="n"/>
      <c r="N294" s="5" t="n"/>
      <c r="O294" s="5" t="n"/>
    </row>
    <row r="295">
      <c r="D295" s="5" t="n"/>
      <c r="H295" s="6" t="n"/>
      <c r="J295" s="8" t="n"/>
      <c r="K295" s="6" t="n"/>
      <c r="L295" s="9" t="n"/>
      <c r="M295" s="5" t="n"/>
      <c r="N295" s="5" t="n"/>
      <c r="O295" s="5" t="n"/>
    </row>
    <row r="296">
      <c r="D296" s="5" t="n"/>
      <c r="H296" s="6" t="n"/>
      <c r="J296" s="8" t="n"/>
      <c r="K296" s="6" t="n"/>
      <c r="L296" s="9" t="n"/>
      <c r="M296" s="5" t="n"/>
      <c r="N296" s="5" t="n"/>
      <c r="O296" s="5" t="n"/>
    </row>
    <row r="297">
      <c r="D297" s="5" t="n"/>
      <c r="H297" s="6" t="n"/>
      <c r="J297" s="8" t="n"/>
      <c r="K297" s="6" t="n"/>
      <c r="L297" s="9" t="n"/>
      <c r="M297" s="5" t="n"/>
      <c r="N297" s="5" t="n"/>
      <c r="O297" s="5" t="n"/>
    </row>
    <row r="298">
      <c r="D298" s="5" t="n"/>
      <c r="H298" s="6" t="n"/>
      <c r="J298" s="8" t="n"/>
      <c r="K298" s="6" t="n"/>
      <c r="L298" s="9" t="n"/>
      <c r="M298" s="5" t="n"/>
      <c r="N298" s="5" t="n"/>
      <c r="O298" s="5" t="n"/>
    </row>
    <row r="299">
      <c r="D299" s="5" t="n"/>
      <c r="H299" s="6" t="n"/>
      <c r="J299" s="8" t="n"/>
      <c r="K299" s="6" t="n"/>
      <c r="L299" s="9" t="n"/>
      <c r="M299" s="5" t="n"/>
      <c r="N299" s="5" t="n"/>
      <c r="O299" s="5" t="n"/>
    </row>
    <row r="300">
      <c r="D300" s="5" t="n"/>
      <c r="H300" s="6" t="n"/>
      <c r="J300" s="8" t="n"/>
      <c r="K300" s="6" t="n"/>
      <c r="L300" s="9" t="n"/>
      <c r="M300" s="5" t="n"/>
      <c r="N300" s="5" t="n"/>
      <c r="O300" s="5" t="n"/>
    </row>
    <row r="301">
      <c r="D301" s="5" t="n"/>
      <c r="H301" s="6" t="n"/>
      <c r="J301" s="8" t="n"/>
      <c r="K301" s="6" t="n"/>
      <c r="L301" s="9" t="n"/>
      <c r="M301" s="5" t="n"/>
      <c r="N301" s="5" t="n"/>
      <c r="O301" s="5" t="n"/>
    </row>
    <row r="302">
      <c r="D302" s="5" t="n"/>
      <c r="H302" s="6" t="n"/>
      <c r="J302" s="8" t="n"/>
      <c r="K302" s="6" t="n"/>
      <c r="L302" s="9" t="n"/>
      <c r="M302" s="5" t="n"/>
      <c r="N302" s="5" t="n"/>
      <c r="O302" s="5" t="n"/>
    </row>
    <row r="303">
      <c r="D303" s="5" t="n"/>
      <c r="H303" s="6" t="n"/>
      <c r="J303" s="8" t="n"/>
      <c r="K303" s="6" t="n"/>
      <c r="L303" s="9" t="n"/>
      <c r="M303" s="5" t="n"/>
      <c r="N303" s="5" t="n"/>
      <c r="O303" s="5" t="n"/>
    </row>
    <row r="304">
      <c r="D304" s="5" t="n"/>
      <c r="H304" s="6" t="n"/>
      <c r="J304" s="8" t="n"/>
      <c r="K304" s="6" t="n"/>
      <c r="L304" s="9" t="n"/>
      <c r="M304" s="5" t="n"/>
      <c r="N304" s="5" t="n"/>
      <c r="O304" s="5" t="n"/>
    </row>
    <row r="305">
      <c r="D305" s="5" t="n"/>
      <c r="H305" s="6" t="n"/>
      <c r="J305" s="8" t="n"/>
      <c r="K305" s="6" t="n"/>
      <c r="L305" s="9" t="n"/>
      <c r="M305" s="5" t="n"/>
      <c r="N305" s="5" t="n"/>
      <c r="O305" s="5" t="n"/>
    </row>
    <row r="306">
      <c r="D306" s="5" t="n"/>
      <c r="H306" s="6" t="n"/>
      <c r="J306" s="8" t="n"/>
      <c r="K306" s="6" t="n"/>
      <c r="L306" s="9" t="n"/>
      <c r="M306" s="5" t="n"/>
      <c r="N306" s="5" t="n"/>
      <c r="O306" s="5" t="n"/>
    </row>
    <row r="307">
      <c r="D307" s="5" t="n"/>
      <c r="H307" s="6" t="n"/>
      <c r="J307" s="8" t="n"/>
      <c r="K307" s="6" t="n"/>
      <c r="L307" s="9" t="n"/>
      <c r="M307" s="5" t="n"/>
      <c r="N307" s="5" t="n"/>
      <c r="O307" s="5" t="n"/>
    </row>
    <row r="308">
      <c r="D308" s="5" t="n"/>
      <c r="H308" s="6" t="n"/>
      <c r="J308" s="8" t="n"/>
      <c r="K308" s="6" t="n"/>
      <c r="L308" s="9" t="n"/>
      <c r="M308" s="5" t="n"/>
      <c r="N308" s="5" t="n"/>
      <c r="O308" s="5" t="n"/>
    </row>
    <row r="309">
      <c r="D309" s="5" t="n"/>
      <c r="H309" s="6" t="n"/>
      <c r="J309" s="8" t="n"/>
      <c r="K309" s="6" t="n"/>
      <c r="L309" s="9" t="n"/>
      <c r="M309" s="5" t="n"/>
      <c r="N309" s="5" t="n"/>
      <c r="O309" s="5" t="n"/>
    </row>
    <row r="310">
      <c r="D310" s="5" t="n"/>
      <c r="H310" s="6" t="n"/>
      <c r="J310" s="8" t="n"/>
      <c r="K310" s="6" t="n"/>
      <c r="L310" s="9" t="n"/>
      <c r="M310" s="5" t="n"/>
      <c r="N310" s="5" t="n"/>
      <c r="O310" s="5" t="n"/>
    </row>
    <row r="311">
      <c r="D311" s="5" t="n"/>
      <c r="H311" s="6" t="n"/>
      <c r="J311" s="8" t="n"/>
      <c r="K311" s="6" t="n"/>
      <c r="L311" s="9" t="n"/>
      <c r="M311" s="5" t="n"/>
      <c r="N311" s="5" t="n"/>
      <c r="O311" s="5" t="n"/>
    </row>
    <row r="312">
      <c r="D312" s="5" t="n"/>
      <c r="H312" s="6" t="n"/>
      <c r="J312" s="8" t="n"/>
      <c r="K312" s="6" t="n"/>
      <c r="L312" s="9" t="n"/>
      <c r="M312" s="5" t="n"/>
      <c r="N312" s="5" t="n"/>
      <c r="O312" s="5" t="n"/>
    </row>
    <row r="313">
      <c r="D313" s="5" t="n"/>
      <c r="H313" s="6" t="n"/>
      <c r="J313" s="8" t="n"/>
      <c r="K313" s="6" t="n"/>
      <c r="L313" s="9" t="n"/>
      <c r="M313" s="5" t="n"/>
      <c r="N313" s="5" t="n"/>
      <c r="O313" s="5" t="n"/>
    </row>
    <row r="314">
      <c r="D314" s="5" t="n"/>
      <c r="H314" s="6" t="n"/>
      <c r="J314" s="8" t="n"/>
      <c r="K314" s="6" t="n"/>
      <c r="L314" s="9" t="n"/>
      <c r="M314" s="5" t="n"/>
      <c r="N314" s="5" t="n"/>
      <c r="O314" s="5" t="n"/>
    </row>
    <row r="315">
      <c r="D315" s="5" t="n"/>
      <c r="H315" s="6" t="n"/>
      <c r="J315" s="8" t="n"/>
      <c r="K315" s="6" t="n"/>
      <c r="L315" s="9" t="n"/>
      <c r="M315" s="5" t="n"/>
      <c r="N315" s="5" t="n"/>
      <c r="O315" s="5" t="n"/>
    </row>
    <row r="316">
      <c r="D316" s="5" t="n"/>
      <c r="H316" s="6" t="n"/>
      <c r="J316" s="8" t="n"/>
      <c r="K316" s="6" t="n"/>
      <c r="L316" s="9" t="n"/>
      <c r="M316" s="5" t="n"/>
      <c r="N316" s="5" t="n"/>
      <c r="O316" s="5" t="n"/>
    </row>
    <row r="317">
      <c r="D317" s="5" t="n"/>
      <c r="H317" s="6" t="n"/>
      <c r="J317" s="8" t="n"/>
      <c r="K317" s="6" t="n"/>
      <c r="L317" s="9" t="n"/>
      <c r="M317" s="5" t="n"/>
      <c r="N317" s="5" t="n"/>
      <c r="O317" s="5" t="n"/>
    </row>
    <row r="318">
      <c r="D318" s="5" t="n"/>
      <c r="H318" s="6" t="n"/>
      <c r="J318" s="8" t="n"/>
      <c r="K318" s="6" t="n"/>
      <c r="L318" s="9" t="n"/>
      <c r="M318" s="5" t="n"/>
      <c r="N318" s="5" t="n"/>
      <c r="O318" s="5" t="n"/>
    </row>
    <row r="319">
      <c r="D319" s="5" t="n"/>
      <c r="H319" s="6" t="n"/>
      <c r="J319" s="8" t="n"/>
      <c r="K319" s="6" t="n"/>
      <c r="L319" s="9" t="n"/>
      <c r="M319" s="5" t="n"/>
      <c r="N319" s="5" t="n"/>
      <c r="O319" s="5" t="n"/>
    </row>
    <row r="320">
      <c r="D320" s="5" t="n"/>
      <c r="H320" s="6" t="n"/>
      <c r="J320" s="8" t="n"/>
      <c r="K320" s="6" t="n"/>
      <c r="L320" s="9" t="n"/>
      <c r="M320" s="5" t="n"/>
      <c r="N320" s="5" t="n"/>
      <c r="O320" s="5" t="n"/>
    </row>
    <row r="321">
      <c r="D321" s="5" t="n"/>
      <c r="H321" s="6" t="n"/>
      <c r="J321" s="8" t="n"/>
      <c r="K321" s="6" t="n"/>
      <c r="L321" s="9" t="n"/>
      <c r="M321" s="5" t="n"/>
      <c r="N321" s="5" t="n"/>
      <c r="O321" s="5" t="n"/>
    </row>
    <row r="322">
      <c r="D322" s="5" t="n"/>
      <c r="H322" s="6" t="n"/>
      <c r="J322" s="8" t="n"/>
      <c r="K322" s="6" t="n"/>
      <c r="L322" s="9" t="n"/>
      <c r="M322" s="5" t="n"/>
      <c r="N322" s="5" t="n"/>
      <c r="O322" s="5" t="n"/>
    </row>
    <row r="323">
      <c r="D323" s="5" t="n"/>
      <c r="H323" s="6" t="n"/>
      <c r="J323" s="8" t="n"/>
      <c r="K323" s="6" t="n"/>
      <c r="L323" s="9" t="n"/>
      <c r="M323" s="5" t="n"/>
      <c r="N323" s="5" t="n"/>
      <c r="O323" s="5" t="n"/>
    </row>
    <row r="324">
      <c r="D324" s="5" t="n"/>
      <c r="H324" s="6" t="n"/>
      <c r="J324" s="8" t="n"/>
      <c r="K324" s="6" t="n"/>
      <c r="L324" s="9" t="n"/>
      <c r="M324" s="5" t="n"/>
      <c r="N324" s="5" t="n"/>
      <c r="O324" s="5" t="n"/>
    </row>
    <row r="325">
      <c r="D325" s="5" t="n"/>
      <c r="H325" s="6" t="n"/>
      <c r="J325" s="8" t="n"/>
      <c r="K325" s="6" t="n"/>
      <c r="L325" s="9" t="n"/>
      <c r="M325" s="5" t="n"/>
      <c r="N325" s="5" t="n"/>
      <c r="O325" s="5" t="n"/>
    </row>
    <row r="326">
      <c r="D326" s="5" t="n"/>
      <c r="H326" s="6" t="n"/>
      <c r="J326" s="8" t="n"/>
      <c r="K326" s="6" t="n"/>
      <c r="L326" s="9" t="n"/>
      <c r="M326" s="5" t="n"/>
      <c r="N326" s="5" t="n"/>
      <c r="O326" s="5" t="n"/>
    </row>
    <row r="327">
      <c r="D327" s="5" t="n"/>
      <c r="H327" s="6" t="n"/>
      <c r="J327" s="8" t="n"/>
      <c r="K327" s="6" t="n"/>
      <c r="L327" s="9" t="n"/>
      <c r="M327" s="5" t="n"/>
      <c r="N327" s="5" t="n"/>
      <c r="O327" s="5" t="n"/>
    </row>
    <row r="328">
      <c r="D328" s="5" t="n"/>
      <c r="H328" s="6" t="n"/>
      <c r="J328" s="8" t="n"/>
      <c r="K328" s="6" t="n"/>
      <c r="L328" s="9" t="n"/>
      <c r="M328" s="5" t="n"/>
      <c r="N328" s="5" t="n"/>
      <c r="O328" s="5" t="n"/>
    </row>
    <row r="329">
      <c r="D329" s="5" t="n"/>
      <c r="H329" s="6" t="n"/>
      <c r="J329" s="8" t="n"/>
      <c r="K329" s="6" t="n"/>
      <c r="L329" s="9" t="n"/>
      <c r="M329" s="5" t="n"/>
      <c r="N329" s="5" t="n"/>
      <c r="O329" s="5" t="n"/>
    </row>
    <row r="330">
      <c r="D330" s="5" t="n"/>
      <c r="H330" s="6" t="n"/>
      <c r="J330" s="8" t="n"/>
      <c r="K330" s="6" t="n"/>
      <c r="L330" s="9" t="n"/>
      <c r="M330" s="5" t="n"/>
      <c r="N330" s="5" t="n"/>
      <c r="O330" s="5" t="n"/>
    </row>
    <row r="331">
      <c r="D331" s="5" t="n"/>
      <c r="H331" s="6" t="n"/>
      <c r="J331" s="8" t="n"/>
      <c r="K331" s="6" t="n"/>
      <c r="L331" s="9" t="n"/>
      <c r="M331" s="5" t="n"/>
      <c r="N331" s="5" t="n"/>
      <c r="O331" s="5" t="n"/>
    </row>
    <row r="332">
      <c r="D332" s="5" t="n"/>
      <c r="H332" s="6" t="n"/>
      <c r="J332" s="8" t="n"/>
      <c r="K332" s="6" t="n"/>
      <c r="L332" s="9" t="n"/>
      <c r="M332" s="5" t="n"/>
      <c r="N332" s="5" t="n"/>
      <c r="O332" s="5" t="n"/>
    </row>
    <row r="333">
      <c r="D333" s="5" t="n"/>
      <c r="H333" s="6" t="n"/>
      <c r="J333" s="8" t="n"/>
      <c r="K333" s="6" t="n"/>
      <c r="L333" s="9" t="n"/>
      <c r="M333" s="5" t="n"/>
      <c r="N333" s="5" t="n"/>
      <c r="O333" s="5" t="n"/>
    </row>
    <row r="334">
      <c r="D334" s="5" t="n"/>
      <c r="H334" s="6" t="n"/>
      <c r="J334" s="8" t="n"/>
      <c r="K334" s="6" t="n"/>
      <c r="L334" s="9" t="n"/>
      <c r="M334" s="5" t="n"/>
      <c r="N334" s="5" t="n"/>
      <c r="O334" s="5" t="n"/>
    </row>
    <row r="335">
      <c r="D335" s="5" t="n"/>
      <c r="H335" s="6" t="n"/>
      <c r="J335" s="8" t="n"/>
      <c r="K335" s="6" t="n"/>
      <c r="L335" s="9" t="n"/>
      <c r="M335" s="5" t="n"/>
      <c r="N335" s="5" t="n"/>
      <c r="O335" s="5" t="n"/>
    </row>
    <row r="336">
      <c r="D336" s="5" t="n"/>
      <c r="H336" s="6" t="n"/>
      <c r="J336" s="8" t="n"/>
      <c r="K336" s="6" t="n"/>
      <c r="L336" s="9" t="n"/>
      <c r="M336" s="5" t="n"/>
      <c r="N336" s="5" t="n"/>
      <c r="O336" s="5" t="n"/>
    </row>
    <row r="337">
      <c r="D337" s="5" t="n"/>
      <c r="H337" s="6" t="n"/>
      <c r="J337" s="8" t="n"/>
      <c r="K337" s="6" t="n"/>
      <c r="L337" s="9" t="n"/>
      <c r="M337" s="5" t="n"/>
      <c r="N337" s="5" t="n"/>
      <c r="O337" s="5" t="n"/>
    </row>
    <row r="338">
      <c r="D338" s="5" t="n"/>
      <c r="H338" s="6" t="n"/>
      <c r="J338" s="8" t="n"/>
      <c r="K338" s="6" t="n"/>
      <c r="L338" s="9" t="n"/>
      <c r="M338" s="5" t="n"/>
      <c r="N338" s="5" t="n"/>
      <c r="O338" s="5" t="n"/>
    </row>
    <row r="339">
      <c r="D339" s="5" t="n"/>
      <c r="H339" s="6" t="n"/>
      <c r="J339" s="8" t="n"/>
      <c r="K339" s="6" t="n"/>
      <c r="L339" s="9" t="n"/>
      <c r="M339" s="5" t="n"/>
      <c r="N339" s="5" t="n"/>
      <c r="O339" s="5" t="n"/>
    </row>
    <row r="340">
      <c r="D340" s="5" t="n"/>
      <c r="H340" s="6" t="n"/>
      <c r="J340" s="8" t="n"/>
      <c r="K340" s="6" t="n"/>
      <c r="L340" s="9" t="n"/>
      <c r="M340" s="5" t="n"/>
      <c r="N340" s="5" t="n"/>
      <c r="O340" s="5" t="n"/>
    </row>
    <row r="341">
      <c r="D341" s="5" t="n"/>
      <c r="H341" s="6" t="n"/>
      <c r="J341" s="8" t="n"/>
      <c r="K341" s="6" t="n"/>
      <c r="L341" s="9" t="n"/>
      <c r="M341" s="5" t="n"/>
      <c r="N341" s="5" t="n"/>
      <c r="O341" s="5" t="n"/>
    </row>
    <row r="342">
      <c r="D342" s="5" t="n"/>
      <c r="H342" s="6" t="n"/>
      <c r="J342" s="8" t="n"/>
      <c r="K342" s="6" t="n"/>
      <c r="L342" s="9" t="n"/>
      <c r="M342" s="5" t="n"/>
      <c r="N342" s="5" t="n"/>
      <c r="O342" s="5" t="n"/>
    </row>
    <row r="343">
      <c r="D343" s="5" t="n"/>
      <c r="H343" s="6" t="n"/>
      <c r="J343" s="8" t="n"/>
      <c r="K343" s="6" t="n"/>
      <c r="L343" s="9" t="n"/>
      <c r="M343" s="5" t="n"/>
      <c r="N343" s="5" t="n"/>
      <c r="O343" s="5" t="n"/>
    </row>
    <row r="344">
      <c r="D344" s="5" t="n"/>
      <c r="H344" s="6" t="n"/>
      <c r="J344" s="8" t="n"/>
      <c r="K344" s="6" t="n"/>
      <c r="L344" s="9" t="n"/>
      <c r="M344" s="5" t="n"/>
      <c r="N344" s="5" t="n"/>
      <c r="O344" s="5" t="n"/>
    </row>
    <row r="345">
      <c r="D345" s="5" t="n"/>
      <c r="H345" s="6" t="n"/>
      <c r="J345" s="8" t="n"/>
      <c r="K345" s="6" t="n"/>
      <c r="L345" s="9" t="n"/>
      <c r="M345" s="5" t="n"/>
      <c r="N345" s="5" t="n"/>
      <c r="O345" s="5" t="n"/>
    </row>
    <row r="346">
      <c r="D346" s="5" t="n"/>
      <c r="H346" s="6" t="n"/>
      <c r="J346" s="8" t="n"/>
      <c r="K346" s="6" t="n"/>
      <c r="L346" s="9" t="n"/>
      <c r="M346" s="5" t="n"/>
      <c r="N346" s="5" t="n"/>
      <c r="O346" s="5" t="n"/>
    </row>
    <row r="347">
      <c r="D347" s="5" t="n"/>
      <c r="H347" s="6" t="n"/>
      <c r="J347" s="8" t="n"/>
      <c r="K347" s="6" t="n"/>
      <c r="L347" s="9" t="n"/>
      <c r="M347" s="5" t="n"/>
      <c r="N347" s="5" t="n"/>
      <c r="O347" s="5" t="n"/>
    </row>
    <row r="348">
      <c r="D348" s="5" t="n"/>
      <c r="H348" s="6" t="n"/>
      <c r="J348" s="8" t="n"/>
      <c r="K348" s="6" t="n"/>
      <c r="L348" s="9" t="n"/>
      <c r="M348" s="5" t="n"/>
      <c r="N348" s="5" t="n"/>
      <c r="O348" s="5" t="n"/>
    </row>
    <row r="349">
      <c r="D349" s="5" t="n"/>
      <c r="H349" s="6" t="n"/>
      <c r="J349" s="8" t="n"/>
      <c r="K349" s="6" t="n"/>
      <c r="L349" s="9" t="n"/>
      <c r="M349" s="5" t="n"/>
      <c r="N349" s="5" t="n"/>
      <c r="O349" s="5" t="n"/>
    </row>
    <row r="350">
      <c r="D350" s="5" t="n"/>
      <c r="H350" s="6" t="n"/>
      <c r="J350" s="8" t="n"/>
      <c r="K350" s="6" t="n"/>
      <c r="L350" s="9" t="n"/>
      <c r="M350" s="5" t="n"/>
      <c r="N350" s="5" t="n"/>
      <c r="O350" s="5" t="n"/>
    </row>
    <row r="351">
      <c r="D351" s="5" t="n"/>
      <c r="H351" s="6" t="n"/>
      <c r="J351" s="8" t="n"/>
      <c r="K351" s="6" t="n"/>
      <c r="L351" s="9" t="n"/>
      <c r="M351" s="5" t="n"/>
      <c r="N351" s="5" t="n"/>
      <c r="O351" s="5" t="n"/>
    </row>
    <row r="352">
      <c r="D352" s="5" t="n"/>
      <c r="H352" s="6" t="n"/>
      <c r="J352" s="8" t="n"/>
      <c r="K352" s="6" t="n"/>
      <c r="L352" s="9" t="n"/>
      <c r="M352" s="5" t="n"/>
      <c r="N352" s="5" t="n"/>
      <c r="O352" s="5" t="n"/>
    </row>
    <row r="353">
      <c r="D353" s="5" t="n"/>
      <c r="H353" s="6" t="n"/>
      <c r="J353" s="8" t="n"/>
      <c r="K353" s="6" t="n"/>
      <c r="L353" s="9" t="n"/>
      <c r="M353" s="5" t="n"/>
      <c r="N353" s="5" t="n"/>
      <c r="O353" s="5" t="n"/>
    </row>
    <row r="354">
      <c r="D354" s="5" t="n"/>
      <c r="H354" s="6" t="n"/>
      <c r="J354" s="8" t="n"/>
      <c r="K354" s="6" t="n"/>
      <c r="L354" s="9" t="n"/>
      <c r="M354" s="5" t="n"/>
      <c r="N354" s="5" t="n"/>
      <c r="O354" s="5" t="n"/>
    </row>
    <row r="355">
      <c r="D355" s="5" t="n"/>
      <c r="H355" s="6" t="n"/>
      <c r="J355" s="8" t="n"/>
      <c r="K355" s="6" t="n"/>
      <c r="L355" s="9" t="n"/>
      <c r="M355" s="5" t="n"/>
      <c r="N355" s="5" t="n"/>
      <c r="O355" s="5" t="n"/>
    </row>
    <row r="356">
      <c r="D356" s="5" t="n"/>
      <c r="H356" s="6" t="n"/>
      <c r="J356" s="8" t="n"/>
      <c r="K356" s="6" t="n"/>
      <c r="L356" s="9" t="n"/>
      <c r="M356" s="5" t="n"/>
      <c r="N356" s="5" t="n"/>
      <c r="O356" s="5" t="n"/>
    </row>
    <row r="357">
      <c r="D357" s="5" t="n"/>
      <c r="H357" s="6" t="n"/>
      <c r="J357" s="8" t="n"/>
      <c r="K357" s="6" t="n"/>
      <c r="L357" s="9" t="n"/>
      <c r="M357" s="5" t="n"/>
      <c r="N357" s="5" t="n"/>
      <c r="O357" s="5" t="n"/>
    </row>
    <row r="358">
      <c r="D358" s="5" t="n"/>
      <c r="H358" s="6" t="n"/>
      <c r="J358" s="8" t="n"/>
      <c r="K358" s="6" t="n"/>
      <c r="L358" s="9" t="n"/>
      <c r="M358" s="5" t="n"/>
      <c r="N358" s="5" t="n"/>
      <c r="O358" s="5" t="n"/>
    </row>
    <row r="359">
      <c r="D359" s="5" t="n"/>
      <c r="H359" s="6" t="n"/>
      <c r="J359" s="8" t="n"/>
      <c r="K359" s="6" t="n"/>
      <c r="L359" s="9" t="n"/>
      <c r="M359" s="5" t="n"/>
      <c r="N359" s="5" t="n"/>
      <c r="O359" s="5" t="n"/>
    </row>
    <row r="360">
      <c r="D360" s="5" t="n"/>
      <c r="H360" s="6" t="n"/>
      <c r="J360" s="8" t="n"/>
      <c r="K360" s="6" t="n"/>
      <c r="L360" s="9" t="n"/>
      <c r="M360" s="5" t="n"/>
      <c r="N360" s="5" t="n"/>
      <c r="O360" s="5" t="n"/>
    </row>
    <row r="361">
      <c r="D361" s="5" t="n"/>
      <c r="H361" s="6" t="n"/>
      <c r="J361" s="8" t="n"/>
      <c r="K361" s="6" t="n"/>
      <c r="L361" s="9" t="n"/>
      <c r="M361" s="5" t="n"/>
      <c r="N361" s="5" t="n"/>
      <c r="O361" s="5" t="n"/>
    </row>
    <row r="362">
      <c r="D362" s="5" t="n"/>
      <c r="H362" s="6" t="n"/>
      <c r="J362" s="8" t="n"/>
      <c r="K362" s="6" t="n"/>
      <c r="L362" s="9" t="n"/>
      <c r="M362" s="5" t="n"/>
      <c r="N362" s="5" t="n"/>
      <c r="O362" s="5" t="n"/>
    </row>
    <row r="363">
      <c r="D363" s="5" t="n"/>
      <c r="H363" s="6" t="n"/>
      <c r="J363" s="8" t="n"/>
      <c r="K363" s="6" t="n"/>
      <c r="L363" s="9" t="n"/>
      <c r="M363" s="5" t="n"/>
      <c r="N363" s="5" t="n"/>
      <c r="O363" s="5" t="n"/>
    </row>
    <row r="364">
      <c r="D364" s="5" t="n"/>
      <c r="H364" s="6" t="n"/>
      <c r="J364" s="8" t="n"/>
      <c r="K364" s="6" t="n"/>
      <c r="L364" s="9" t="n"/>
      <c r="M364" s="5" t="n"/>
      <c r="N364" s="5" t="n"/>
      <c r="O364" s="5" t="n"/>
    </row>
    <row r="365">
      <c r="D365" s="5" t="n"/>
      <c r="H365" s="6" t="n"/>
      <c r="J365" s="8" t="n"/>
      <c r="K365" s="6" t="n"/>
      <c r="L365" s="9" t="n"/>
      <c r="M365" s="5" t="n"/>
      <c r="N365" s="5" t="n"/>
      <c r="O365" s="5" t="n"/>
    </row>
    <row r="366">
      <c r="D366" s="5" t="n"/>
      <c r="H366" s="6" t="n"/>
      <c r="J366" s="8" t="n"/>
      <c r="K366" s="6" t="n"/>
      <c r="L366" s="9" t="n"/>
      <c r="M366" s="5" t="n"/>
      <c r="N366" s="5" t="n"/>
      <c r="O366" s="5" t="n"/>
    </row>
    <row r="367">
      <c r="D367" s="5" t="n"/>
      <c r="H367" s="6" t="n"/>
      <c r="J367" s="8" t="n"/>
      <c r="K367" s="6" t="n"/>
      <c r="L367" s="9" t="n"/>
      <c r="M367" s="5" t="n"/>
      <c r="N367" s="5" t="n"/>
      <c r="O367" s="5" t="n"/>
    </row>
    <row r="368">
      <c r="D368" s="5" t="n"/>
      <c r="H368" s="6" t="n"/>
      <c r="J368" s="8" t="n"/>
      <c r="K368" s="6" t="n"/>
      <c r="L368" s="9" t="n"/>
      <c r="M368" s="5" t="n"/>
      <c r="N368" s="5" t="n"/>
      <c r="O368" s="5" t="n"/>
    </row>
    <row r="369">
      <c r="D369" s="5" t="n"/>
      <c r="H369" s="6" t="n"/>
      <c r="J369" s="8" t="n"/>
      <c r="K369" s="6" t="n"/>
      <c r="L369" s="9" t="n"/>
      <c r="M369" s="5" t="n"/>
      <c r="N369" s="5" t="n"/>
      <c r="O369" s="5" t="n"/>
    </row>
    <row r="370">
      <c r="D370" s="5" t="n"/>
      <c r="H370" s="6" t="n"/>
      <c r="J370" s="8" t="n"/>
      <c r="K370" s="6" t="n"/>
      <c r="L370" s="9" t="n"/>
      <c r="M370" s="5" t="n"/>
      <c r="N370" s="5" t="n"/>
      <c r="O370" s="5" t="n"/>
    </row>
    <row r="371">
      <c r="D371" s="5" t="n"/>
      <c r="H371" s="6" t="n"/>
      <c r="J371" s="8" t="n"/>
      <c r="K371" s="6" t="n"/>
      <c r="L371" s="9" t="n"/>
      <c r="M371" s="5" t="n"/>
      <c r="N371" s="5" t="n"/>
      <c r="O371" s="5" t="n"/>
    </row>
    <row r="372">
      <c r="D372" s="5" t="n"/>
      <c r="H372" s="6" t="n"/>
      <c r="J372" s="8" t="n"/>
      <c r="K372" s="6" t="n"/>
      <c r="L372" s="9" t="n"/>
      <c r="M372" s="5" t="n"/>
      <c r="N372" s="5" t="n"/>
      <c r="O372" s="5" t="n"/>
    </row>
    <row r="373">
      <c r="D373" s="5" t="n"/>
      <c r="H373" s="6" t="n"/>
      <c r="J373" s="8" t="n"/>
      <c r="K373" s="6" t="n"/>
      <c r="L373" s="9" t="n"/>
      <c r="M373" s="5" t="n"/>
      <c r="N373" s="5" t="n"/>
      <c r="O373" s="5" t="n"/>
    </row>
    <row r="374">
      <c r="D374" s="5" t="n"/>
      <c r="H374" s="6" t="n"/>
      <c r="J374" s="8" t="n"/>
      <c r="K374" s="6" t="n"/>
      <c r="L374" s="9" t="n"/>
      <c r="M374" s="5" t="n"/>
      <c r="N374" s="5" t="n"/>
      <c r="O374" s="5" t="n"/>
    </row>
    <row r="375">
      <c r="D375" s="5" t="n"/>
      <c r="H375" s="6" t="n"/>
      <c r="J375" s="8" t="n"/>
      <c r="K375" s="6" t="n"/>
      <c r="L375" s="9" t="n"/>
      <c r="M375" s="5" t="n"/>
      <c r="N375" s="5" t="n"/>
      <c r="O375" s="5" t="n"/>
    </row>
    <row r="376">
      <c r="D376" s="5" t="n"/>
      <c r="H376" s="6" t="n"/>
      <c r="J376" s="8" t="n"/>
      <c r="K376" s="6" t="n"/>
      <c r="L376" s="9" t="n"/>
      <c r="M376" s="5" t="n"/>
      <c r="N376" s="5" t="n"/>
      <c r="O376" s="5" t="n"/>
    </row>
    <row r="377">
      <c r="D377" s="5" t="n"/>
      <c r="H377" s="6" t="n"/>
      <c r="J377" s="8" t="n"/>
      <c r="K377" s="6" t="n"/>
      <c r="L377" s="9" t="n"/>
      <c r="M377" s="5" t="n"/>
      <c r="N377" s="5" t="n"/>
      <c r="O377" s="5" t="n"/>
    </row>
    <row r="378">
      <c r="D378" s="5" t="n"/>
      <c r="H378" s="6" t="n"/>
      <c r="J378" s="8" t="n"/>
      <c r="K378" s="6" t="n"/>
      <c r="L378" s="9" t="n"/>
      <c r="M378" s="5" t="n"/>
      <c r="N378" s="5" t="n"/>
      <c r="O378" s="5" t="n"/>
    </row>
    <row r="379">
      <c r="D379" s="5" t="n"/>
      <c r="H379" s="6" t="n"/>
      <c r="J379" s="8" t="n"/>
      <c r="K379" s="6" t="n"/>
      <c r="L379" s="9" t="n"/>
      <c r="M379" s="5" t="n"/>
      <c r="N379" s="5" t="n"/>
      <c r="O379" s="5" t="n"/>
    </row>
    <row r="380">
      <c r="D380" s="5" t="n"/>
      <c r="H380" s="6" t="n"/>
      <c r="J380" s="8" t="n"/>
      <c r="K380" s="6" t="n"/>
      <c r="L380" s="9" t="n"/>
      <c r="M380" s="5" t="n"/>
      <c r="N380" s="5" t="n"/>
      <c r="O380" s="5" t="n"/>
    </row>
    <row r="381">
      <c r="D381" s="5" t="n"/>
      <c r="H381" s="6" t="n"/>
      <c r="J381" s="8" t="n"/>
      <c r="K381" s="6" t="n"/>
      <c r="L381" s="9" t="n"/>
      <c r="M381" s="5" t="n"/>
      <c r="N381" s="5" t="n"/>
      <c r="O381" s="5" t="n"/>
    </row>
    <row r="382">
      <c r="D382" s="5" t="n"/>
      <c r="H382" s="6" t="n"/>
      <c r="J382" s="8" t="n"/>
      <c r="K382" s="6" t="n"/>
      <c r="L382" s="9" t="n"/>
      <c r="M382" s="5" t="n"/>
      <c r="N382" s="5" t="n"/>
      <c r="O382" s="5" t="n"/>
    </row>
    <row r="383">
      <c r="D383" s="5" t="n"/>
      <c r="H383" s="6" t="n"/>
      <c r="J383" s="8" t="n"/>
      <c r="K383" s="6" t="n"/>
      <c r="L383" s="9" t="n"/>
      <c r="M383" s="5" t="n"/>
      <c r="N383" s="5" t="n"/>
      <c r="O383" s="5" t="n"/>
    </row>
    <row r="384">
      <c r="D384" s="5" t="n"/>
      <c r="H384" s="6" t="n"/>
      <c r="J384" s="8" t="n"/>
      <c r="K384" s="6" t="n"/>
      <c r="L384" s="9" t="n"/>
      <c r="M384" s="5" t="n"/>
      <c r="N384" s="5" t="n"/>
      <c r="O384" s="5" t="n"/>
    </row>
    <row r="385">
      <c r="D385" s="5" t="n"/>
      <c r="H385" s="6" t="n"/>
      <c r="J385" s="8" t="n"/>
      <c r="K385" s="6" t="n"/>
      <c r="L385" s="9" t="n"/>
      <c r="M385" s="5" t="n"/>
      <c r="N385" s="5" t="n"/>
      <c r="O385" s="5" t="n"/>
    </row>
    <row r="386">
      <c r="D386" s="5" t="n"/>
      <c r="H386" s="6" t="n"/>
      <c r="J386" s="8" t="n"/>
      <c r="K386" s="6" t="n"/>
      <c r="L386" s="9" t="n"/>
      <c r="M386" s="5" t="n"/>
      <c r="N386" s="5" t="n"/>
      <c r="O386" s="5" t="n"/>
    </row>
    <row r="387">
      <c r="D387" s="5" t="n"/>
      <c r="H387" s="6" t="n"/>
      <c r="J387" s="8" t="n"/>
      <c r="K387" s="6" t="n"/>
      <c r="L387" s="9" t="n"/>
      <c r="M387" s="5" t="n"/>
      <c r="N387" s="5" t="n"/>
      <c r="O387" s="5" t="n"/>
    </row>
    <row r="388">
      <c r="D388" s="5" t="n"/>
      <c r="H388" s="6" t="n"/>
      <c r="J388" s="8" t="n"/>
      <c r="K388" s="6" t="n"/>
      <c r="L388" s="9" t="n"/>
      <c r="M388" s="5" t="n"/>
      <c r="N388" s="5" t="n"/>
      <c r="O388" s="5" t="n"/>
    </row>
    <row r="389">
      <c r="D389" s="5" t="n"/>
      <c r="H389" s="6" t="n"/>
      <c r="J389" s="8" t="n"/>
      <c r="K389" s="6" t="n"/>
      <c r="L389" s="9" t="n"/>
      <c r="M389" s="5" t="n"/>
      <c r="N389" s="5" t="n"/>
      <c r="O389" s="5" t="n"/>
    </row>
    <row r="390">
      <c r="D390" s="5" t="n"/>
      <c r="H390" s="6" t="n"/>
      <c r="J390" s="8" t="n"/>
      <c r="K390" s="6" t="n"/>
      <c r="L390" s="9" t="n"/>
      <c r="M390" s="5" t="n"/>
      <c r="N390" s="5" t="n"/>
      <c r="O390" s="5" t="n"/>
    </row>
    <row r="391">
      <c r="D391" s="5" t="n"/>
      <c r="H391" s="6" t="n"/>
      <c r="J391" s="8" t="n"/>
      <c r="K391" s="6" t="n"/>
      <c r="L391" s="9" t="n"/>
      <c r="M391" s="5" t="n"/>
      <c r="N391" s="5" t="n"/>
      <c r="O391" s="5" t="n"/>
    </row>
    <row r="392">
      <c r="D392" s="5" t="n"/>
      <c r="H392" s="6" t="n"/>
      <c r="J392" s="8" t="n"/>
      <c r="K392" s="6" t="n"/>
      <c r="L392" s="9" t="n"/>
      <c r="M392" s="5" t="n"/>
      <c r="N392" s="5" t="n"/>
      <c r="O392" s="5" t="n"/>
    </row>
    <row r="393">
      <c r="D393" s="5" t="n"/>
      <c r="H393" s="6" t="n"/>
      <c r="J393" s="8" t="n"/>
      <c r="K393" s="6" t="n"/>
      <c r="L393" s="9" t="n"/>
      <c r="M393" s="5" t="n"/>
      <c r="N393" s="5" t="n"/>
      <c r="O393" s="5" t="n"/>
    </row>
    <row r="394">
      <c r="D394" s="5" t="n"/>
      <c r="H394" s="6" t="n"/>
      <c r="J394" s="8" t="n"/>
      <c r="K394" s="6" t="n"/>
      <c r="L394" s="9" t="n"/>
      <c r="M394" s="5" t="n"/>
      <c r="N394" s="5" t="n"/>
      <c r="O394" s="5" t="n"/>
    </row>
    <row r="395">
      <c r="D395" s="5" t="n"/>
      <c r="H395" s="6" t="n"/>
      <c r="J395" s="8" t="n"/>
      <c r="K395" s="6" t="n"/>
      <c r="L395" s="9" t="n"/>
      <c r="M395" s="5" t="n"/>
      <c r="N395" s="5" t="n"/>
      <c r="O395" s="5" t="n"/>
    </row>
    <row r="396">
      <c r="D396" s="5" t="n"/>
      <c r="H396" s="6" t="n"/>
      <c r="J396" s="8" t="n"/>
      <c r="K396" s="6" t="n"/>
      <c r="L396" s="9" t="n"/>
      <c r="M396" s="5" t="n"/>
      <c r="N396" s="5" t="n"/>
      <c r="O396" s="5" t="n"/>
    </row>
    <row r="397">
      <c r="D397" s="5" t="n"/>
      <c r="H397" s="6" t="n"/>
      <c r="J397" s="8" t="n"/>
      <c r="K397" s="6" t="n"/>
      <c r="L397" s="9" t="n"/>
      <c r="M397" s="5" t="n"/>
      <c r="N397" s="5" t="n"/>
      <c r="O397" s="5" t="n"/>
    </row>
    <row r="398">
      <c r="D398" s="5" t="n"/>
      <c r="H398" s="6" t="n"/>
      <c r="J398" s="8" t="n"/>
      <c r="K398" s="6" t="n"/>
      <c r="L398" s="9" t="n"/>
      <c r="M398" s="5" t="n"/>
      <c r="N398" s="5" t="n"/>
      <c r="O398" s="5" t="n"/>
    </row>
    <row r="399">
      <c r="D399" s="5" t="n"/>
      <c r="H399" s="6" t="n"/>
      <c r="J399" s="8" t="n"/>
      <c r="K399" s="6" t="n"/>
      <c r="L399" s="9" t="n"/>
      <c r="M399" s="5" t="n"/>
      <c r="N399" s="5" t="n"/>
      <c r="O399" s="5" t="n"/>
    </row>
    <row r="400">
      <c r="D400" s="5" t="n"/>
      <c r="H400" s="6" t="n"/>
      <c r="J400" s="8" t="n"/>
      <c r="K400" s="6" t="n"/>
      <c r="L400" s="9" t="n"/>
      <c r="M400" s="5" t="n"/>
      <c r="N400" s="5" t="n"/>
      <c r="O400" s="5" t="n"/>
    </row>
    <row r="401">
      <c r="D401" s="5" t="n"/>
      <c r="H401" s="6" t="n"/>
      <c r="J401" s="8" t="n"/>
      <c r="K401" s="6" t="n"/>
      <c r="L401" s="9" t="n"/>
      <c r="M401" s="5" t="n"/>
      <c r="N401" s="5" t="n"/>
      <c r="O401" s="5" t="n"/>
    </row>
    <row r="402">
      <c r="D402" s="5" t="n"/>
      <c r="H402" s="6" t="n"/>
      <c r="J402" s="8" t="n"/>
      <c r="K402" s="6" t="n"/>
      <c r="L402" s="9" t="n"/>
      <c r="M402" s="5" t="n"/>
      <c r="N402" s="5" t="n"/>
      <c r="O402" s="5" t="n"/>
    </row>
    <row r="403">
      <c r="D403" s="5" t="n"/>
      <c r="H403" s="6" t="n"/>
      <c r="J403" s="8" t="n"/>
      <c r="K403" s="6" t="n"/>
      <c r="L403" s="9" t="n"/>
      <c r="M403" s="5" t="n"/>
      <c r="N403" s="5" t="n"/>
      <c r="O403" s="5" t="n"/>
    </row>
    <row r="404">
      <c r="D404" s="5" t="n"/>
      <c r="H404" s="6" t="n"/>
      <c r="J404" s="8" t="n"/>
      <c r="K404" s="6" t="n"/>
      <c r="L404" s="9" t="n"/>
      <c r="M404" s="5" t="n"/>
      <c r="N404" s="5" t="n"/>
      <c r="O404" s="5" t="n"/>
    </row>
    <row r="405">
      <c r="D405" s="5" t="n"/>
      <c r="H405" s="6" t="n"/>
      <c r="J405" s="8" t="n"/>
      <c r="K405" s="6" t="n"/>
      <c r="L405" s="9" t="n"/>
      <c r="M405" s="5" t="n"/>
      <c r="N405" s="5" t="n"/>
      <c r="O405" s="5" t="n"/>
    </row>
    <row r="406">
      <c r="D406" s="5" t="n"/>
      <c r="H406" s="6" t="n"/>
      <c r="J406" s="8" t="n"/>
      <c r="K406" s="6" t="n"/>
      <c r="L406" s="9" t="n"/>
      <c r="M406" s="5" t="n"/>
      <c r="N406" s="5" t="n"/>
      <c r="O406" s="5" t="n"/>
    </row>
    <row r="407">
      <c r="D407" s="5" t="n"/>
      <c r="H407" s="6" t="n"/>
      <c r="J407" s="8" t="n"/>
      <c r="K407" s="6" t="n"/>
      <c r="L407" s="9" t="n"/>
      <c r="M407" s="5" t="n"/>
      <c r="N407" s="5" t="n"/>
      <c r="O407" s="5" t="n"/>
    </row>
    <row r="408">
      <c r="D408" s="5" t="n"/>
      <c r="H408" s="6" t="n"/>
      <c r="J408" s="8" t="n"/>
      <c r="K408" s="6" t="n"/>
      <c r="L408" s="9" t="n"/>
      <c r="M408" s="5" t="n"/>
      <c r="N408" s="5" t="n"/>
      <c r="O408" s="5" t="n"/>
    </row>
    <row r="409">
      <c r="D409" s="5" t="n"/>
      <c r="H409" s="6" t="n"/>
      <c r="J409" s="8" t="n"/>
      <c r="K409" s="6" t="n"/>
      <c r="L409" s="9" t="n"/>
      <c r="M409" s="5" t="n"/>
      <c r="N409" s="5" t="n"/>
      <c r="O409" s="5" t="n"/>
    </row>
    <row r="410">
      <c r="D410" s="5" t="n"/>
      <c r="H410" s="6" t="n"/>
      <c r="J410" s="8" t="n"/>
      <c r="K410" s="6" t="n"/>
      <c r="L410" s="9" t="n"/>
      <c r="M410" s="5" t="n"/>
      <c r="N410" s="5" t="n"/>
      <c r="O410" s="5" t="n"/>
    </row>
    <row r="411">
      <c r="D411" s="5" t="n"/>
      <c r="H411" s="6" t="n"/>
      <c r="J411" s="8" t="n"/>
      <c r="K411" s="6" t="n"/>
      <c r="L411" s="9" t="n"/>
      <c r="M411" s="5" t="n"/>
      <c r="N411" s="5" t="n"/>
      <c r="O411" s="5" t="n"/>
    </row>
    <row r="412">
      <c r="D412" s="5" t="n"/>
      <c r="H412" s="6" t="n"/>
      <c r="J412" s="8" t="n"/>
      <c r="K412" s="6" t="n"/>
      <c r="L412" s="9" t="n"/>
      <c r="M412" s="5" t="n"/>
      <c r="N412" s="5" t="n"/>
      <c r="O412" s="5" t="n"/>
    </row>
    <row r="413">
      <c r="D413" s="5" t="n"/>
      <c r="H413" s="6" t="n"/>
      <c r="J413" s="8" t="n"/>
      <c r="K413" s="6" t="n"/>
      <c r="L413" s="9" t="n"/>
      <c r="M413" s="5" t="n"/>
      <c r="N413" s="5" t="n"/>
      <c r="O413" s="5" t="n"/>
    </row>
    <row r="414">
      <c r="D414" s="5" t="n"/>
      <c r="H414" s="6" t="n"/>
      <c r="J414" s="8" t="n"/>
      <c r="K414" s="6" t="n"/>
      <c r="L414" s="9" t="n"/>
      <c r="M414" s="5" t="n"/>
      <c r="N414" s="5" t="n"/>
      <c r="O414" s="5" t="n"/>
    </row>
    <row r="415">
      <c r="D415" s="5" t="n"/>
      <c r="H415" s="6" t="n"/>
      <c r="J415" s="8" t="n"/>
      <c r="K415" s="6" t="n"/>
      <c r="L415" s="9" t="n"/>
      <c r="M415" s="5" t="n"/>
      <c r="N415" s="5" t="n"/>
      <c r="O415" s="5" t="n"/>
    </row>
    <row r="416">
      <c r="D416" s="5" t="n"/>
      <c r="H416" s="6" t="n"/>
      <c r="J416" s="8" t="n"/>
      <c r="K416" s="6" t="n"/>
      <c r="L416" s="9" t="n"/>
      <c r="M416" s="5" t="n"/>
      <c r="N416" s="5" t="n"/>
      <c r="O416" s="5" t="n"/>
    </row>
    <row r="417">
      <c r="D417" s="5" t="n"/>
      <c r="H417" s="6" t="n"/>
      <c r="J417" s="8" t="n"/>
      <c r="K417" s="6" t="n"/>
      <c r="L417" s="9" t="n"/>
      <c r="M417" s="5" t="n"/>
      <c r="N417" s="5" t="n"/>
      <c r="O417" s="5" t="n"/>
    </row>
    <row r="418">
      <c r="D418" s="5" t="n"/>
      <c r="H418" s="6" t="n"/>
      <c r="J418" s="8" t="n"/>
      <c r="K418" s="6" t="n"/>
      <c r="L418" s="9" t="n"/>
      <c r="M418" s="5" t="n"/>
      <c r="N418" s="5" t="n"/>
      <c r="O418" s="5" t="n"/>
    </row>
    <row r="419">
      <c r="D419" s="5" t="n"/>
      <c r="H419" s="6" t="n"/>
      <c r="J419" s="8" t="n"/>
      <c r="K419" s="6" t="n"/>
      <c r="L419" s="9" t="n"/>
      <c r="M419" s="5" t="n"/>
      <c r="N419" s="5" t="n"/>
      <c r="O419" s="5" t="n"/>
    </row>
    <row r="420">
      <c r="D420" s="5" t="n"/>
      <c r="H420" s="6" t="n"/>
      <c r="J420" s="8" t="n"/>
      <c r="K420" s="6" t="n"/>
      <c r="L420" s="9" t="n"/>
      <c r="M420" s="5" t="n"/>
      <c r="N420" s="5" t="n"/>
      <c r="O420" s="5" t="n"/>
    </row>
    <row r="421">
      <c r="D421" s="5" t="n"/>
      <c r="H421" s="6" t="n"/>
      <c r="J421" s="8" t="n"/>
      <c r="K421" s="6" t="n"/>
      <c r="L421" s="9" t="n"/>
      <c r="M421" s="5" t="n"/>
      <c r="N421" s="5" t="n"/>
      <c r="O421" s="5" t="n"/>
    </row>
    <row r="422">
      <c r="D422" s="5" t="n"/>
      <c r="H422" s="6" t="n"/>
      <c r="J422" s="8" t="n"/>
      <c r="K422" s="6" t="n"/>
      <c r="L422" s="9" t="n"/>
      <c r="M422" s="5" t="n"/>
      <c r="N422" s="5" t="n"/>
      <c r="O422" s="5" t="n"/>
    </row>
    <row r="423">
      <c r="D423" s="5" t="n"/>
      <c r="H423" s="6" t="n"/>
      <c r="J423" s="8" t="n"/>
      <c r="K423" s="6" t="n"/>
      <c r="L423" s="9" t="n"/>
      <c r="M423" s="5" t="n"/>
      <c r="N423" s="5" t="n"/>
      <c r="O423" s="5" t="n"/>
    </row>
    <row r="424">
      <c r="D424" s="5" t="n"/>
      <c r="H424" s="6" t="n"/>
      <c r="J424" s="8" t="n"/>
      <c r="K424" s="6" t="n"/>
      <c r="L424" s="9" t="n"/>
      <c r="M424" s="5" t="n"/>
      <c r="N424" s="5" t="n"/>
      <c r="O424" s="5" t="n"/>
    </row>
    <row r="425">
      <c r="D425" s="5" t="n"/>
      <c r="H425" s="6" t="n"/>
      <c r="J425" s="8" t="n"/>
      <c r="K425" s="6" t="n"/>
      <c r="L425" s="9" t="n"/>
      <c r="M425" s="5" t="n"/>
      <c r="N425" s="5" t="n"/>
      <c r="O425" s="5" t="n"/>
    </row>
    <row r="426">
      <c r="D426" s="5" t="n"/>
      <c r="H426" s="6" t="n"/>
      <c r="J426" s="8" t="n"/>
      <c r="K426" s="6" t="n"/>
      <c r="L426" s="9" t="n"/>
      <c r="M426" s="5" t="n"/>
      <c r="N426" s="5" t="n"/>
      <c r="O426" s="5" t="n"/>
    </row>
    <row r="427">
      <c r="D427" s="5" t="n"/>
      <c r="H427" s="6" t="n"/>
      <c r="J427" s="8" t="n"/>
      <c r="K427" s="6" t="n"/>
      <c r="L427" s="9" t="n"/>
      <c r="M427" s="5" t="n"/>
      <c r="N427" s="5" t="n"/>
      <c r="O427" s="5" t="n"/>
    </row>
    <row r="428">
      <c r="D428" s="5" t="n"/>
      <c r="H428" s="6" t="n"/>
      <c r="J428" s="8" t="n"/>
      <c r="K428" s="6" t="n"/>
      <c r="L428" s="9" t="n"/>
      <c r="M428" s="5" t="n"/>
      <c r="N428" s="5" t="n"/>
      <c r="O428" s="5" t="n"/>
    </row>
    <row r="429">
      <c r="D429" s="5" t="n"/>
      <c r="H429" s="6" t="n"/>
      <c r="J429" s="8" t="n"/>
      <c r="K429" s="6" t="n"/>
      <c r="L429" s="9" t="n"/>
      <c r="M429" s="5" t="n"/>
      <c r="N429" s="5" t="n"/>
      <c r="O429" s="5" t="n"/>
    </row>
    <row r="430">
      <c r="D430" s="5" t="n"/>
      <c r="H430" s="6" t="n"/>
      <c r="J430" s="8" t="n"/>
      <c r="K430" s="6" t="n"/>
      <c r="L430" s="9" t="n"/>
      <c r="M430" s="5" t="n"/>
      <c r="N430" s="5" t="n"/>
      <c r="O430" s="5" t="n"/>
    </row>
    <row r="431">
      <c r="D431" s="5" t="n"/>
      <c r="H431" s="6" t="n"/>
      <c r="J431" s="8" t="n"/>
      <c r="K431" s="6" t="n"/>
      <c r="L431" s="9" t="n"/>
      <c r="M431" s="5" t="n"/>
      <c r="N431" s="5" t="n"/>
      <c r="O431" s="5" t="n"/>
    </row>
    <row r="432">
      <c r="D432" s="5" t="n"/>
      <c r="H432" s="6" t="n"/>
      <c r="J432" s="8" t="n"/>
      <c r="K432" s="6" t="n"/>
      <c r="L432" s="9" t="n"/>
      <c r="M432" s="5" t="n"/>
      <c r="N432" s="5" t="n"/>
      <c r="O432" s="5" t="n"/>
    </row>
    <row r="433">
      <c r="D433" s="5" t="n"/>
      <c r="H433" s="6" t="n"/>
      <c r="J433" s="8" t="n"/>
      <c r="K433" s="6" t="n"/>
      <c r="L433" s="9" t="n"/>
      <c r="M433" s="5" t="n"/>
      <c r="N433" s="5" t="n"/>
      <c r="O433" s="5" t="n"/>
    </row>
    <row r="434">
      <c r="D434" s="5" t="n"/>
      <c r="H434" s="6" t="n"/>
      <c r="J434" s="8" t="n"/>
      <c r="K434" s="6" t="n"/>
      <c r="L434" s="9" t="n"/>
      <c r="M434" s="5" t="n"/>
      <c r="N434" s="5" t="n"/>
      <c r="O434" s="5" t="n"/>
    </row>
    <row r="435">
      <c r="D435" s="5" t="n"/>
      <c r="H435" s="6" t="n"/>
      <c r="J435" s="8" t="n"/>
      <c r="K435" s="6" t="n"/>
      <c r="L435" s="9" t="n"/>
      <c r="M435" s="5" t="n"/>
      <c r="N435" s="5" t="n"/>
      <c r="O435" s="5" t="n"/>
    </row>
    <row r="436">
      <c r="D436" s="5" t="n"/>
      <c r="H436" s="6" t="n"/>
      <c r="J436" s="8" t="n"/>
      <c r="K436" s="6" t="n"/>
      <c r="L436" s="9" t="n"/>
      <c r="M436" s="5" t="n"/>
      <c r="N436" s="5" t="n"/>
      <c r="O436" s="5" t="n"/>
    </row>
    <row r="437">
      <c r="D437" s="5" t="n"/>
      <c r="H437" s="6" t="n"/>
      <c r="J437" s="8" t="n"/>
      <c r="K437" s="6" t="n"/>
      <c r="L437" s="9" t="n"/>
      <c r="M437" s="5" t="n"/>
      <c r="N437" s="5" t="n"/>
      <c r="O437" s="5" t="n"/>
    </row>
    <row r="438">
      <c r="D438" s="5" t="n"/>
      <c r="H438" s="6" t="n"/>
      <c r="J438" s="8" t="n"/>
      <c r="K438" s="6" t="n"/>
      <c r="L438" s="9" t="n"/>
      <c r="M438" s="5" t="n"/>
      <c r="N438" s="5" t="n"/>
      <c r="O438" s="5" t="n"/>
    </row>
    <row r="439">
      <c r="D439" s="5" t="n"/>
      <c r="H439" s="6" t="n"/>
      <c r="J439" s="8" t="n"/>
      <c r="K439" s="6" t="n"/>
      <c r="L439" s="9" t="n"/>
      <c r="M439" s="5" t="n"/>
      <c r="N439" s="5" t="n"/>
      <c r="O439" s="5" t="n"/>
    </row>
    <row r="440">
      <c r="D440" s="5" t="n"/>
      <c r="H440" s="6" t="n"/>
      <c r="J440" s="8" t="n"/>
      <c r="K440" s="6" t="n"/>
      <c r="L440" s="9" t="n"/>
      <c r="M440" s="5" t="n"/>
      <c r="N440" s="5" t="n"/>
      <c r="O440" s="5" t="n"/>
    </row>
    <row r="441">
      <c r="D441" s="5" t="n"/>
      <c r="H441" s="6" t="n"/>
      <c r="J441" s="8" t="n"/>
      <c r="K441" s="6" t="n"/>
      <c r="L441" s="9" t="n"/>
      <c r="M441" s="5" t="n"/>
      <c r="N441" s="5" t="n"/>
      <c r="O441" s="5" t="n"/>
    </row>
    <row r="442">
      <c r="D442" s="5" t="n"/>
      <c r="H442" s="6" t="n"/>
      <c r="J442" s="8" t="n"/>
      <c r="K442" s="6" t="n"/>
      <c r="L442" s="9" t="n"/>
      <c r="M442" s="5" t="n"/>
      <c r="N442" s="5" t="n"/>
      <c r="O442" s="5" t="n"/>
    </row>
    <row r="443">
      <c r="D443" s="5" t="n"/>
      <c r="H443" s="6" t="n"/>
      <c r="J443" s="8" t="n"/>
      <c r="K443" s="6" t="n"/>
      <c r="L443" s="9" t="n"/>
      <c r="M443" s="5" t="n"/>
      <c r="N443" s="5" t="n"/>
      <c r="O443" s="5" t="n"/>
    </row>
    <row r="444">
      <c r="D444" s="5" t="n"/>
      <c r="H444" s="6" t="n"/>
      <c r="J444" s="8" t="n"/>
      <c r="K444" s="6" t="n"/>
      <c r="L444" s="9" t="n"/>
      <c r="M444" s="5" t="n"/>
      <c r="N444" s="5" t="n"/>
      <c r="O444" s="5" t="n"/>
    </row>
    <row r="445">
      <c r="D445" s="5" t="n"/>
      <c r="H445" s="6" t="n"/>
      <c r="J445" s="8" t="n"/>
      <c r="K445" s="6" t="n"/>
      <c r="L445" s="9" t="n"/>
      <c r="M445" s="5" t="n"/>
      <c r="N445" s="5" t="n"/>
      <c r="O445" s="5" t="n"/>
    </row>
    <row r="446">
      <c r="D446" s="5" t="n"/>
      <c r="H446" s="6" t="n"/>
      <c r="J446" s="8" t="n"/>
      <c r="K446" s="6" t="n"/>
      <c r="L446" s="9" t="n"/>
      <c r="M446" s="5" t="n"/>
      <c r="N446" s="5" t="n"/>
      <c r="O446" s="5" t="n"/>
    </row>
    <row r="447">
      <c r="D447" s="5" t="n"/>
      <c r="H447" s="6" t="n"/>
      <c r="J447" s="8" t="n"/>
      <c r="K447" s="6" t="n"/>
      <c r="L447" s="9" t="n"/>
      <c r="M447" s="5" t="n"/>
      <c r="N447" s="5" t="n"/>
      <c r="O447" s="5" t="n"/>
    </row>
    <row r="448">
      <c r="D448" s="5" t="n"/>
      <c r="H448" s="6" t="n"/>
      <c r="J448" s="8" t="n"/>
      <c r="K448" s="6" t="n"/>
      <c r="L448" s="9" t="n"/>
      <c r="M448" s="5" t="n"/>
      <c r="N448" s="5" t="n"/>
      <c r="O448" s="5" t="n"/>
    </row>
    <row r="449">
      <c r="D449" s="5" t="n"/>
      <c r="H449" s="6" t="n"/>
      <c r="J449" s="8" t="n"/>
      <c r="K449" s="6" t="n"/>
      <c r="L449" s="9" t="n"/>
      <c r="M449" s="5" t="n"/>
      <c r="N449" s="5" t="n"/>
      <c r="O449" s="5" t="n"/>
    </row>
    <row r="450">
      <c r="D450" s="5" t="n"/>
      <c r="H450" s="6" t="n"/>
      <c r="J450" s="8" t="n"/>
      <c r="K450" s="6" t="n"/>
      <c r="L450" s="9" t="n"/>
      <c r="M450" s="5" t="n"/>
      <c r="N450" s="5" t="n"/>
      <c r="O450" s="5" t="n"/>
    </row>
    <row r="451">
      <c r="D451" s="5" t="n"/>
      <c r="H451" s="6" t="n"/>
      <c r="J451" s="8" t="n"/>
      <c r="K451" s="6" t="n"/>
      <c r="L451" s="9" t="n"/>
      <c r="M451" s="5" t="n"/>
      <c r="N451" s="5" t="n"/>
      <c r="O451" s="5" t="n"/>
    </row>
    <row r="452">
      <c r="D452" s="5" t="n"/>
      <c r="H452" s="6" t="n"/>
      <c r="J452" s="8" t="n"/>
      <c r="K452" s="6" t="n"/>
      <c r="L452" s="9" t="n"/>
      <c r="M452" s="5" t="n"/>
      <c r="N452" s="5" t="n"/>
      <c r="O452" s="5" t="n"/>
    </row>
    <row r="453">
      <c r="D453" s="5" t="n"/>
      <c r="H453" s="6" t="n"/>
      <c r="J453" s="8" t="n"/>
      <c r="K453" s="6" t="n"/>
      <c r="L453" s="9" t="n"/>
      <c r="M453" s="5" t="n"/>
      <c r="N453" s="5" t="n"/>
      <c r="O453" s="5" t="n"/>
    </row>
    <row r="454">
      <c r="D454" s="5" t="n"/>
      <c r="H454" s="6" t="n"/>
      <c r="J454" s="8" t="n"/>
      <c r="K454" s="6" t="n"/>
      <c r="L454" s="9" t="n"/>
      <c r="M454" s="5" t="n"/>
      <c r="N454" s="5" t="n"/>
      <c r="O454" s="5" t="n"/>
    </row>
    <row r="455">
      <c r="D455" s="5" t="n"/>
      <c r="H455" s="6" t="n"/>
      <c r="J455" s="8" t="n"/>
      <c r="K455" s="6" t="n"/>
      <c r="L455" s="9" t="n"/>
      <c r="M455" s="5" t="n"/>
      <c r="N455" s="5" t="n"/>
      <c r="O455" s="5" t="n"/>
    </row>
    <row r="456">
      <c r="D456" s="5" t="n"/>
      <c r="H456" s="6" t="n"/>
      <c r="J456" s="8" t="n"/>
      <c r="K456" s="6" t="n"/>
      <c r="L456" s="9" t="n"/>
      <c r="M456" s="5" t="n"/>
      <c r="N456" s="5" t="n"/>
      <c r="O456" s="5" t="n"/>
    </row>
    <row r="457">
      <c r="D457" s="5" t="n"/>
      <c r="H457" s="6" t="n"/>
      <c r="J457" s="8" t="n"/>
      <c r="K457" s="6" t="n"/>
      <c r="L457" s="9" t="n"/>
      <c r="M457" s="5" t="n"/>
      <c r="N457" s="5" t="n"/>
      <c r="O457" s="5" t="n"/>
    </row>
    <row r="458">
      <c r="D458" s="5" t="n"/>
      <c r="H458" s="6" t="n"/>
      <c r="J458" s="8" t="n"/>
      <c r="K458" s="6" t="n"/>
      <c r="L458" s="9" t="n"/>
      <c r="M458" s="5" t="n"/>
      <c r="N458" s="5" t="n"/>
      <c r="O458" s="5" t="n"/>
    </row>
    <row r="459">
      <c r="D459" s="5" t="n"/>
      <c r="H459" s="6" t="n"/>
      <c r="J459" s="8" t="n"/>
      <c r="K459" s="6" t="n"/>
      <c r="L459" s="9" t="n"/>
      <c r="M459" s="5" t="n"/>
      <c r="N459" s="5" t="n"/>
      <c r="O459" s="5" t="n"/>
    </row>
    <row r="460">
      <c r="D460" s="5" t="n"/>
      <c r="H460" s="6" t="n"/>
      <c r="J460" s="8" t="n"/>
      <c r="K460" s="6" t="n"/>
      <c r="L460" s="9" t="n"/>
      <c r="M460" s="5" t="n"/>
      <c r="N460" s="5" t="n"/>
      <c r="O460" s="5" t="n"/>
    </row>
    <row r="461">
      <c r="D461" s="5" t="n"/>
      <c r="H461" s="6" t="n"/>
      <c r="J461" s="8" t="n"/>
      <c r="K461" s="6" t="n"/>
      <c r="L461" s="9" t="n"/>
      <c r="M461" s="5" t="n"/>
      <c r="N461" s="5" t="n"/>
      <c r="O461" s="5" t="n"/>
    </row>
    <row r="462">
      <c r="D462" s="5" t="n"/>
      <c r="H462" s="6" t="n"/>
      <c r="J462" s="8" t="n"/>
      <c r="K462" s="6" t="n"/>
      <c r="L462" s="9" t="n"/>
      <c r="M462" s="5" t="n"/>
      <c r="N462" s="5" t="n"/>
      <c r="O462" s="5" t="n"/>
    </row>
    <row r="463">
      <c r="D463" s="5" t="n"/>
      <c r="H463" s="6" t="n"/>
      <c r="J463" s="8" t="n"/>
      <c r="K463" s="6" t="n"/>
      <c r="L463" s="9" t="n"/>
      <c r="M463" s="5" t="n"/>
      <c r="N463" s="5" t="n"/>
      <c r="O463" s="5" t="n"/>
    </row>
    <row r="464">
      <c r="D464" s="5" t="n"/>
      <c r="H464" s="6" t="n"/>
      <c r="J464" s="8" t="n"/>
      <c r="K464" s="6" t="n"/>
      <c r="L464" s="9" t="n"/>
      <c r="M464" s="5" t="n"/>
      <c r="N464" s="5" t="n"/>
      <c r="O464" s="5" t="n"/>
    </row>
    <row r="465">
      <c r="D465" s="5" t="n"/>
      <c r="H465" s="6" t="n"/>
      <c r="J465" s="8" t="n"/>
      <c r="K465" s="6" t="n"/>
      <c r="L465" s="9" t="n"/>
      <c r="M465" s="5" t="n"/>
      <c r="N465" s="5" t="n"/>
      <c r="O465" s="5" t="n"/>
    </row>
    <row r="466">
      <c r="D466" s="5" t="n"/>
      <c r="H466" s="6" t="n"/>
      <c r="J466" s="8" t="n"/>
      <c r="K466" s="6" t="n"/>
      <c r="L466" s="9" t="n"/>
      <c r="M466" s="5" t="n"/>
      <c r="N466" s="5" t="n"/>
      <c r="O466" s="5" t="n"/>
    </row>
    <row r="467">
      <c r="D467" s="5" t="n"/>
      <c r="H467" s="6" t="n"/>
      <c r="J467" s="8" t="n"/>
      <c r="K467" s="6" t="n"/>
      <c r="L467" s="9" t="n"/>
      <c r="M467" s="5" t="n"/>
      <c r="N467" s="5" t="n"/>
      <c r="O467" s="5" t="n"/>
    </row>
    <row r="468">
      <c r="D468" s="5" t="n"/>
      <c r="H468" s="6" t="n"/>
      <c r="J468" s="8" t="n"/>
      <c r="K468" s="6" t="n"/>
      <c r="L468" s="9" t="n"/>
      <c r="M468" s="5" t="n"/>
      <c r="N468" s="5" t="n"/>
      <c r="O468" s="5" t="n"/>
    </row>
    <row r="469">
      <c r="D469" s="5" t="n"/>
      <c r="H469" s="6" t="n"/>
      <c r="J469" s="8" t="n"/>
      <c r="K469" s="6" t="n"/>
      <c r="L469" s="9" t="n"/>
      <c r="M469" s="5" t="n"/>
      <c r="N469" s="5" t="n"/>
      <c r="O469" s="5" t="n"/>
    </row>
    <row r="470">
      <c r="D470" s="5" t="n"/>
      <c r="H470" s="6" t="n"/>
      <c r="J470" s="8" t="n"/>
      <c r="K470" s="6" t="n"/>
      <c r="L470" s="9" t="n"/>
      <c r="M470" s="5" t="n"/>
      <c r="N470" s="5" t="n"/>
      <c r="O470" s="5" t="n"/>
    </row>
    <row r="471">
      <c r="D471" s="5" t="n"/>
      <c r="H471" s="6" t="n"/>
      <c r="J471" s="8" t="n"/>
      <c r="K471" s="6" t="n"/>
      <c r="L471" s="9" t="n"/>
      <c r="M471" s="5" t="n"/>
      <c r="N471" s="5" t="n"/>
      <c r="O471" s="5" t="n"/>
    </row>
    <row r="472">
      <c r="D472" s="5" t="n"/>
      <c r="H472" s="6" t="n"/>
      <c r="J472" s="8" t="n"/>
      <c r="K472" s="6" t="n"/>
      <c r="L472" s="9" t="n"/>
      <c r="M472" s="5" t="n"/>
      <c r="N472" s="5" t="n"/>
      <c r="O472" s="5" t="n"/>
    </row>
    <row r="473">
      <c r="D473" s="5" t="n"/>
      <c r="H473" s="6" t="n"/>
      <c r="J473" s="8" t="n"/>
      <c r="K473" s="6" t="n"/>
      <c r="L473" s="9" t="n"/>
      <c r="M473" s="5" t="n"/>
      <c r="N473" s="5" t="n"/>
      <c r="O473" s="5" t="n"/>
    </row>
    <row r="474">
      <c r="D474" s="5" t="n"/>
      <c r="H474" s="6" t="n"/>
      <c r="J474" s="8" t="n"/>
      <c r="K474" s="6" t="n"/>
      <c r="L474" s="9" t="n"/>
      <c r="M474" s="5" t="n"/>
      <c r="N474" s="5" t="n"/>
      <c r="O474" s="5" t="n"/>
    </row>
    <row r="475">
      <c r="D475" s="5" t="n"/>
      <c r="H475" s="6" t="n"/>
      <c r="J475" s="8" t="n"/>
      <c r="K475" s="6" t="n"/>
      <c r="L475" s="9" t="n"/>
      <c r="M475" s="5" t="n"/>
      <c r="N475" s="5" t="n"/>
      <c r="O475" s="5" t="n"/>
    </row>
    <row r="476">
      <c r="D476" s="5" t="n"/>
      <c r="H476" s="6" t="n"/>
      <c r="J476" s="8" t="n"/>
      <c r="K476" s="6" t="n"/>
      <c r="L476" s="9" t="n"/>
      <c r="M476" s="5" t="n"/>
      <c r="N476" s="5" t="n"/>
      <c r="O476" s="5" t="n"/>
    </row>
    <row r="477">
      <c r="D477" s="5" t="n"/>
      <c r="H477" s="6" t="n"/>
      <c r="J477" s="8" t="n"/>
      <c r="K477" s="6" t="n"/>
      <c r="L477" s="9" t="n"/>
      <c r="M477" s="5" t="n"/>
      <c r="N477" s="5" t="n"/>
      <c r="O477" s="5" t="n"/>
    </row>
    <row r="478">
      <c r="D478" s="5" t="n"/>
      <c r="H478" s="6" t="n"/>
      <c r="J478" s="8" t="n"/>
      <c r="K478" s="6" t="n"/>
      <c r="L478" s="9" t="n"/>
      <c r="M478" s="5" t="n"/>
      <c r="N478" s="5" t="n"/>
      <c r="O478" s="5" t="n"/>
    </row>
    <row r="479">
      <c r="D479" s="5" t="n"/>
      <c r="H479" s="6" t="n"/>
      <c r="J479" s="8" t="n"/>
      <c r="K479" s="6" t="n"/>
      <c r="L479" s="9" t="n"/>
      <c r="M479" s="5" t="n"/>
      <c r="N479" s="5" t="n"/>
      <c r="O479" s="5" t="n"/>
    </row>
    <row r="480">
      <c r="D480" s="5" t="n"/>
      <c r="H480" s="6" t="n"/>
      <c r="J480" s="8" t="n"/>
      <c r="K480" s="6" t="n"/>
      <c r="L480" s="9" t="n"/>
      <c r="M480" s="5" t="n"/>
      <c r="N480" s="5" t="n"/>
      <c r="O480" s="5" t="n"/>
    </row>
    <row r="481">
      <c r="D481" s="5" t="n"/>
      <c r="H481" s="6" t="n"/>
      <c r="J481" s="8" t="n"/>
      <c r="K481" s="6" t="n"/>
      <c r="L481" s="9" t="n"/>
      <c r="M481" s="5" t="n"/>
      <c r="N481" s="5" t="n"/>
      <c r="O481" s="5" t="n"/>
    </row>
    <row r="482">
      <c r="D482" s="5" t="n"/>
      <c r="H482" s="6" t="n"/>
      <c r="J482" s="8" t="n"/>
      <c r="K482" s="6" t="n"/>
      <c r="L482" s="9" t="n"/>
      <c r="M482" s="5" t="n"/>
      <c r="N482" s="5" t="n"/>
      <c r="O482" s="5" t="n"/>
    </row>
    <row r="483">
      <c r="D483" s="5" t="n"/>
      <c r="H483" s="6" t="n"/>
      <c r="J483" s="8" t="n"/>
      <c r="K483" s="6" t="n"/>
      <c r="L483" s="9" t="n"/>
      <c r="M483" s="5" t="n"/>
      <c r="N483" s="5" t="n"/>
      <c r="O483" s="5" t="n"/>
    </row>
    <row r="484">
      <c r="D484" s="5" t="n"/>
      <c r="H484" s="6" t="n"/>
      <c r="J484" s="8" t="n"/>
      <c r="K484" s="6" t="n"/>
      <c r="L484" s="9" t="n"/>
      <c r="M484" s="5" t="n"/>
      <c r="N484" s="5" t="n"/>
      <c r="O484" s="5" t="n"/>
    </row>
    <row r="485">
      <c r="D485" s="5" t="n"/>
      <c r="H485" s="6" t="n"/>
      <c r="J485" s="8" t="n"/>
      <c r="K485" s="6" t="n"/>
      <c r="L485" s="9" t="n"/>
      <c r="M485" s="5" t="n"/>
      <c r="N485" s="5" t="n"/>
      <c r="O485" s="5" t="n"/>
    </row>
    <row r="486">
      <c r="D486" s="5" t="n"/>
      <c r="H486" s="6" t="n"/>
      <c r="J486" s="8" t="n"/>
      <c r="K486" s="6" t="n"/>
      <c r="L486" s="9" t="n"/>
      <c r="M486" s="5" t="n"/>
      <c r="N486" s="5" t="n"/>
      <c r="O486" s="5" t="n"/>
    </row>
    <row r="487">
      <c r="D487" s="5" t="n"/>
      <c r="H487" s="6" t="n"/>
      <c r="J487" s="8" t="n"/>
      <c r="K487" s="6" t="n"/>
      <c r="L487" s="9" t="n"/>
      <c r="M487" s="5" t="n"/>
      <c r="N487" s="5" t="n"/>
      <c r="O487" s="5" t="n"/>
    </row>
    <row r="488">
      <c r="D488" s="5" t="n"/>
      <c r="H488" s="6" t="n"/>
      <c r="J488" s="8" t="n"/>
      <c r="K488" s="6" t="n"/>
      <c r="L488" s="9" t="n"/>
      <c r="M488" s="5" t="n"/>
      <c r="N488" s="5" t="n"/>
      <c r="O488" s="5" t="n"/>
    </row>
    <row r="489">
      <c r="D489" s="5" t="n"/>
      <c r="H489" s="6" t="n"/>
      <c r="J489" s="8" t="n"/>
      <c r="K489" s="6" t="n"/>
      <c r="L489" s="9" t="n"/>
      <c r="M489" s="5" t="n"/>
      <c r="N489" s="5" t="n"/>
      <c r="O489" s="5" t="n"/>
    </row>
    <row r="490">
      <c r="D490" s="5" t="n"/>
      <c r="H490" s="6" t="n"/>
      <c r="J490" s="8" t="n"/>
      <c r="K490" s="6" t="n"/>
      <c r="L490" s="9" t="n"/>
      <c r="M490" s="5" t="n"/>
      <c r="N490" s="5" t="n"/>
      <c r="O490" s="5" t="n"/>
    </row>
    <row r="491">
      <c r="D491" s="5" t="n"/>
      <c r="H491" s="6" t="n"/>
      <c r="J491" s="8" t="n"/>
      <c r="K491" s="6" t="n"/>
      <c r="L491" s="9" t="n"/>
      <c r="M491" s="5" t="n"/>
      <c r="N491" s="5" t="n"/>
      <c r="O491" s="5" t="n"/>
    </row>
    <row r="492">
      <c r="D492" s="5" t="n"/>
      <c r="H492" s="6" t="n"/>
      <c r="J492" s="8" t="n"/>
      <c r="K492" s="6" t="n"/>
      <c r="L492" s="9" t="n"/>
      <c r="M492" s="5" t="n"/>
      <c r="N492" s="5" t="n"/>
      <c r="O492" s="5" t="n"/>
    </row>
    <row r="493">
      <c r="D493" s="5" t="n"/>
      <c r="H493" s="6" t="n"/>
      <c r="J493" s="8" t="n"/>
      <c r="K493" s="6" t="n"/>
      <c r="L493" s="9" t="n"/>
      <c r="M493" s="5" t="n"/>
      <c r="N493" s="5" t="n"/>
      <c r="O493" s="5" t="n"/>
    </row>
    <row r="494">
      <c r="D494" s="5" t="n"/>
      <c r="H494" s="6" t="n"/>
      <c r="J494" s="8" t="n"/>
      <c r="K494" s="6" t="n"/>
      <c r="L494" s="9" t="n"/>
      <c r="M494" s="5" t="n"/>
      <c r="N494" s="5" t="n"/>
      <c r="O494" s="5" t="n"/>
    </row>
    <row r="495">
      <c r="D495" s="5" t="n"/>
      <c r="H495" s="6" t="n"/>
      <c r="J495" s="8" t="n"/>
      <c r="K495" s="6" t="n"/>
      <c r="L495" s="9" t="n"/>
      <c r="M495" s="5" t="n"/>
      <c r="N495" s="5" t="n"/>
      <c r="O495" s="5" t="n"/>
    </row>
    <row r="496">
      <c r="D496" s="5" t="n"/>
      <c r="H496" s="6" t="n"/>
      <c r="J496" s="8" t="n"/>
      <c r="K496" s="6" t="n"/>
      <c r="L496" s="9" t="n"/>
      <c r="M496" s="5" t="n"/>
      <c r="N496" s="5" t="n"/>
      <c r="O496" s="5" t="n"/>
    </row>
    <row r="497">
      <c r="D497" s="5" t="n"/>
      <c r="H497" s="6" t="n"/>
      <c r="J497" s="8" t="n"/>
      <c r="K497" s="6" t="n"/>
      <c r="L497" s="9" t="n"/>
      <c r="M497" s="5" t="n"/>
      <c r="N497" s="5" t="n"/>
      <c r="O497" s="5" t="n"/>
    </row>
    <row r="498">
      <c r="D498" s="5" t="n"/>
      <c r="H498" s="6" t="n"/>
      <c r="J498" s="8" t="n"/>
      <c r="K498" s="6" t="n"/>
      <c r="L498" s="9" t="n"/>
      <c r="M498" s="5" t="n"/>
      <c r="N498" s="5" t="n"/>
      <c r="O498" s="5" t="n"/>
    </row>
    <row r="499">
      <c r="D499" s="5" t="n"/>
      <c r="H499" s="6" t="n"/>
      <c r="J499" s="8" t="n"/>
      <c r="K499" s="6" t="n"/>
      <c r="L499" s="9" t="n"/>
      <c r="M499" s="5" t="n"/>
      <c r="N499" s="5" t="n"/>
      <c r="O499" s="5" t="n"/>
    </row>
    <row r="500">
      <c r="D500" s="5" t="n"/>
      <c r="H500" s="6" t="n"/>
      <c r="J500" s="8" t="n"/>
      <c r="K500" s="6" t="n"/>
      <c r="L500" s="9" t="n"/>
      <c r="M500" s="5" t="n"/>
      <c r="N500" s="5" t="n"/>
      <c r="O500" s="5" t="n"/>
    </row>
    <row r="501">
      <c r="D501" s="5" t="n"/>
      <c r="H501" s="6" t="n"/>
      <c r="J501" s="8" t="n"/>
      <c r="K501" s="6" t="n"/>
      <c r="L501" s="9" t="n"/>
      <c r="M501" s="5" t="n"/>
      <c r="N501" s="5" t="n"/>
      <c r="O501" s="5" t="n"/>
    </row>
    <row r="502">
      <c r="D502" s="5" t="n"/>
      <c r="H502" s="6" t="n"/>
      <c r="J502" s="8" t="n"/>
      <c r="K502" s="6" t="n"/>
      <c r="L502" s="9" t="n"/>
      <c r="M502" s="5" t="n"/>
      <c r="N502" s="5" t="n"/>
      <c r="O502" s="5" t="n"/>
    </row>
    <row r="503">
      <c r="D503" s="5" t="n"/>
      <c r="H503" s="6" t="n"/>
      <c r="J503" s="8" t="n"/>
      <c r="K503" s="6" t="n"/>
      <c r="L503" s="9" t="n"/>
      <c r="M503" s="5" t="n"/>
      <c r="N503" s="5" t="n"/>
      <c r="O503" s="5" t="n"/>
    </row>
    <row r="504">
      <c r="D504" s="5" t="n"/>
      <c r="H504" s="6" t="n"/>
      <c r="J504" s="8" t="n"/>
      <c r="K504" s="6" t="n"/>
      <c r="L504" s="9" t="n"/>
      <c r="M504" s="5" t="n"/>
      <c r="N504" s="5" t="n"/>
      <c r="O504" s="5" t="n"/>
    </row>
    <row r="505">
      <c r="D505" s="5" t="n"/>
      <c r="H505" s="6" t="n"/>
      <c r="J505" s="8" t="n"/>
      <c r="K505" s="6" t="n"/>
      <c r="L505" s="9" t="n"/>
      <c r="M505" s="5" t="n"/>
      <c r="N505" s="5" t="n"/>
      <c r="O505" s="5" t="n"/>
    </row>
    <row r="506">
      <c r="D506" s="5" t="n"/>
      <c r="H506" s="6" t="n"/>
      <c r="J506" s="8" t="n"/>
      <c r="K506" s="6" t="n"/>
      <c r="L506" s="9" t="n"/>
      <c r="M506" s="5" t="n"/>
      <c r="N506" s="5" t="n"/>
      <c r="O506" s="5" t="n"/>
    </row>
    <row r="507">
      <c r="D507" s="5" t="n"/>
      <c r="H507" s="6" t="n"/>
      <c r="J507" s="8" t="n"/>
      <c r="K507" s="6" t="n"/>
      <c r="L507" s="9" t="n"/>
      <c r="M507" s="5" t="n"/>
      <c r="N507" s="5" t="n"/>
      <c r="O507" s="5" t="n"/>
    </row>
    <row r="508">
      <c r="D508" s="5" t="n"/>
      <c r="H508" s="6" t="n"/>
      <c r="J508" s="8" t="n"/>
      <c r="K508" s="6" t="n"/>
      <c r="L508" s="9" t="n"/>
      <c r="M508" s="5" t="n"/>
      <c r="N508" s="5" t="n"/>
      <c r="O508" s="5" t="n"/>
    </row>
    <row r="509">
      <c r="D509" s="5" t="n"/>
      <c r="H509" s="6" t="n"/>
      <c r="J509" s="8" t="n"/>
      <c r="K509" s="6" t="n"/>
      <c r="L509" s="9" t="n"/>
      <c r="M509" s="5" t="n"/>
      <c r="N509" s="5" t="n"/>
      <c r="O509" s="5" t="n"/>
    </row>
    <row r="510">
      <c r="D510" s="5" t="n"/>
      <c r="H510" s="6" t="n"/>
      <c r="J510" s="8" t="n"/>
      <c r="K510" s="6" t="n"/>
      <c r="L510" s="9" t="n"/>
      <c r="M510" s="5" t="n"/>
      <c r="N510" s="5" t="n"/>
      <c r="O510" s="5" t="n"/>
    </row>
    <row r="511">
      <c r="D511" s="5" t="n"/>
      <c r="H511" s="6" t="n"/>
      <c r="J511" s="8" t="n"/>
      <c r="K511" s="6" t="n"/>
      <c r="L511" s="9" t="n"/>
      <c r="M511" s="5" t="n"/>
      <c r="N511" s="5" t="n"/>
      <c r="O511" s="5" t="n"/>
    </row>
    <row r="512">
      <c r="D512" s="5" t="n"/>
      <c r="H512" s="6" t="n"/>
      <c r="J512" s="8" t="n"/>
      <c r="K512" s="6" t="n"/>
      <c r="L512" s="9" t="n"/>
      <c r="M512" s="5" t="n"/>
      <c r="N512" s="5" t="n"/>
      <c r="O512" s="5" t="n"/>
    </row>
    <row r="513">
      <c r="D513" s="5" t="n"/>
      <c r="H513" s="6" t="n"/>
      <c r="J513" s="8" t="n"/>
      <c r="K513" s="6" t="n"/>
      <c r="L513" s="9" t="n"/>
      <c r="M513" s="5" t="n"/>
      <c r="N513" s="5" t="n"/>
      <c r="O513" s="5" t="n"/>
    </row>
    <row r="514">
      <c r="D514" s="5" t="n"/>
      <c r="H514" s="6" t="n"/>
      <c r="J514" s="8" t="n"/>
      <c r="K514" s="6" t="n"/>
      <c r="L514" s="9" t="n"/>
      <c r="M514" s="5" t="n"/>
      <c r="N514" s="5" t="n"/>
      <c r="O514" s="5" t="n"/>
    </row>
    <row r="515">
      <c r="D515" s="5" t="n"/>
      <c r="H515" s="6" t="n"/>
      <c r="J515" s="8" t="n"/>
      <c r="K515" s="6" t="n"/>
      <c r="L515" s="9" t="n"/>
      <c r="M515" s="5" t="n"/>
      <c r="N515" s="5" t="n"/>
      <c r="O515" s="5" t="n"/>
    </row>
    <row r="516">
      <c r="D516" s="5" t="n"/>
      <c r="H516" s="6" t="n"/>
      <c r="J516" s="8" t="n"/>
      <c r="K516" s="6" t="n"/>
      <c r="L516" s="9" t="n"/>
      <c r="M516" s="5" t="n"/>
      <c r="N516" s="5" t="n"/>
      <c r="O516" s="5" t="n"/>
    </row>
    <row r="517">
      <c r="D517" s="5" t="n"/>
      <c r="H517" s="6" t="n"/>
      <c r="J517" s="8" t="n"/>
      <c r="K517" s="6" t="n"/>
      <c r="L517" s="9" t="n"/>
      <c r="M517" s="5" t="n"/>
      <c r="N517" s="5" t="n"/>
      <c r="O517" s="5" t="n"/>
    </row>
    <row r="518">
      <c r="D518" s="5" t="n"/>
      <c r="H518" s="6" t="n"/>
      <c r="J518" s="8" t="n"/>
      <c r="K518" s="6" t="n"/>
      <c r="L518" s="9" t="n"/>
      <c r="M518" s="5" t="n"/>
      <c r="N518" s="5" t="n"/>
      <c r="O518" s="5" t="n"/>
    </row>
    <row r="519">
      <c r="D519" s="5" t="n"/>
      <c r="H519" s="6" t="n"/>
      <c r="J519" s="8" t="n"/>
      <c r="K519" s="6" t="n"/>
      <c r="L519" s="9" t="n"/>
      <c r="M519" s="5" t="n"/>
      <c r="N519" s="5" t="n"/>
      <c r="O519" s="5" t="n"/>
    </row>
    <row r="520">
      <c r="D520" s="5" t="n"/>
      <c r="H520" s="6" t="n"/>
      <c r="J520" s="8" t="n"/>
      <c r="K520" s="6" t="n"/>
      <c r="L520" s="9" t="n"/>
      <c r="M520" s="5" t="n"/>
      <c r="N520" s="5" t="n"/>
      <c r="O520" s="5" t="n"/>
    </row>
    <row r="521">
      <c r="D521" s="5" t="n"/>
      <c r="H521" s="6" t="n"/>
      <c r="J521" s="8" t="n"/>
      <c r="K521" s="6" t="n"/>
      <c r="L521" s="9" t="n"/>
      <c r="M521" s="5" t="n"/>
      <c r="N521" s="5" t="n"/>
      <c r="O521" s="5" t="n"/>
    </row>
    <row r="522">
      <c r="D522" s="5" t="n"/>
      <c r="H522" s="6" t="n"/>
      <c r="J522" s="8" t="n"/>
      <c r="K522" s="6" t="n"/>
      <c r="L522" s="9" t="n"/>
      <c r="M522" s="5" t="n"/>
      <c r="N522" s="5" t="n"/>
      <c r="O522" s="5" t="n"/>
    </row>
    <row r="523">
      <c r="D523" s="5" t="n"/>
      <c r="H523" s="6" t="n"/>
      <c r="J523" s="8" t="n"/>
      <c r="K523" s="6" t="n"/>
      <c r="L523" s="9" t="n"/>
      <c r="M523" s="5" t="n"/>
      <c r="N523" s="5" t="n"/>
      <c r="O523" s="5" t="n"/>
    </row>
    <row r="524">
      <c r="D524" s="5" t="n"/>
      <c r="H524" s="6" t="n"/>
      <c r="J524" s="8" t="n"/>
      <c r="K524" s="6" t="n"/>
      <c r="L524" s="9" t="n"/>
      <c r="M524" s="5" t="n"/>
      <c r="N524" s="5" t="n"/>
      <c r="O524" s="5" t="n"/>
    </row>
    <row r="525">
      <c r="D525" s="5" t="n"/>
      <c r="H525" s="6" t="n"/>
      <c r="J525" s="8" t="n"/>
      <c r="K525" s="6" t="n"/>
      <c r="L525" s="9" t="n"/>
      <c r="M525" s="5" t="n"/>
      <c r="N525" s="5" t="n"/>
      <c r="O525" s="5" t="n"/>
    </row>
    <row r="526">
      <c r="D526" s="5" t="n"/>
      <c r="H526" s="6" t="n"/>
      <c r="J526" s="8" t="n"/>
      <c r="K526" s="6" t="n"/>
      <c r="L526" s="9" t="n"/>
      <c r="M526" s="5" t="n"/>
      <c r="N526" s="5" t="n"/>
      <c r="O526" s="5" t="n"/>
    </row>
    <row r="527">
      <c r="D527" s="5" t="n"/>
      <c r="H527" s="6" t="n"/>
      <c r="J527" s="8" t="n"/>
      <c r="K527" s="6" t="n"/>
      <c r="L527" s="9" t="n"/>
      <c r="M527" s="5" t="n"/>
      <c r="N527" s="5" t="n"/>
      <c r="O527" s="5" t="n"/>
    </row>
    <row r="528">
      <c r="D528" s="5" t="n"/>
      <c r="H528" s="6" t="n"/>
      <c r="J528" s="8" t="n"/>
      <c r="K528" s="6" t="n"/>
      <c r="L528" s="9" t="n"/>
      <c r="M528" s="5" t="n"/>
      <c r="N528" s="5" t="n"/>
      <c r="O528" s="5" t="n"/>
    </row>
    <row r="529">
      <c r="D529" s="5" t="n"/>
      <c r="H529" s="6" t="n"/>
      <c r="J529" s="8" t="n"/>
      <c r="K529" s="6" t="n"/>
      <c r="L529" s="9" t="n"/>
      <c r="M529" s="5" t="n"/>
      <c r="N529" s="5" t="n"/>
      <c r="O529" s="5" t="n"/>
    </row>
    <row r="530">
      <c r="D530" s="5" t="n"/>
      <c r="H530" s="6" t="n"/>
      <c r="J530" s="8" t="n"/>
      <c r="K530" s="6" t="n"/>
      <c r="L530" s="9" t="n"/>
      <c r="M530" s="5" t="n"/>
      <c r="N530" s="5" t="n"/>
      <c r="O530" s="5" t="n"/>
    </row>
    <row r="531">
      <c r="D531" s="5" t="n"/>
      <c r="H531" s="6" t="n"/>
      <c r="J531" s="8" t="n"/>
      <c r="K531" s="6" t="n"/>
      <c r="L531" s="9" t="n"/>
      <c r="M531" s="5" t="n"/>
      <c r="N531" s="5" t="n"/>
      <c r="O531" s="5" t="n"/>
    </row>
    <row r="532">
      <c r="D532" s="5" t="n"/>
      <c r="H532" s="6" t="n"/>
      <c r="J532" s="8" t="n"/>
      <c r="K532" s="6" t="n"/>
      <c r="L532" s="9" t="n"/>
      <c r="M532" s="5" t="n"/>
      <c r="N532" s="5" t="n"/>
      <c r="O532" s="5" t="n"/>
    </row>
    <row r="533">
      <c r="D533" s="5" t="n"/>
      <c r="H533" s="6" t="n"/>
      <c r="J533" s="8" t="n"/>
      <c r="K533" s="6" t="n"/>
      <c r="L533" s="9" t="n"/>
      <c r="M533" s="5" t="n"/>
      <c r="N533" s="5" t="n"/>
      <c r="O533" s="5" t="n"/>
    </row>
    <row r="534">
      <c r="D534" s="5" t="n"/>
      <c r="H534" s="6" t="n"/>
      <c r="J534" s="8" t="n"/>
      <c r="K534" s="6" t="n"/>
      <c r="L534" s="9" t="n"/>
      <c r="M534" s="5" t="n"/>
      <c r="N534" s="5" t="n"/>
      <c r="O534" s="5" t="n"/>
    </row>
    <row r="535">
      <c r="D535" s="5" t="n"/>
      <c r="H535" s="6" t="n"/>
      <c r="J535" s="8" t="n"/>
      <c r="K535" s="6" t="n"/>
      <c r="L535" s="9" t="n"/>
      <c r="M535" s="5" t="n"/>
      <c r="N535" s="5" t="n"/>
      <c r="O535" s="5" t="n"/>
    </row>
    <row r="536">
      <c r="D536" s="5" t="n"/>
      <c r="H536" s="6" t="n"/>
      <c r="J536" s="8" t="n"/>
      <c r="K536" s="6" t="n"/>
      <c r="L536" s="9" t="n"/>
      <c r="M536" s="5" t="n"/>
      <c r="N536" s="5" t="n"/>
      <c r="O536" s="5" t="n"/>
    </row>
    <row r="537">
      <c r="D537" s="5" t="n"/>
      <c r="H537" s="6" t="n"/>
      <c r="J537" s="8" t="n"/>
      <c r="K537" s="6" t="n"/>
      <c r="L537" s="9" t="n"/>
      <c r="M537" s="5" t="n"/>
      <c r="N537" s="5" t="n"/>
      <c r="O537" s="5" t="n"/>
    </row>
    <row r="538">
      <c r="D538" s="5" t="n"/>
      <c r="H538" s="6" t="n"/>
      <c r="J538" s="8" t="n"/>
      <c r="K538" s="6" t="n"/>
      <c r="L538" s="9" t="n"/>
      <c r="M538" s="5" t="n"/>
      <c r="N538" s="5" t="n"/>
      <c r="O538" s="5" t="n"/>
    </row>
    <row r="539">
      <c r="D539" s="5" t="n"/>
      <c r="H539" s="6" t="n"/>
      <c r="J539" s="8" t="n"/>
      <c r="K539" s="6" t="n"/>
      <c r="L539" s="9" t="n"/>
      <c r="M539" s="5" t="n"/>
      <c r="N539" s="5" t="n"/>
      <c r="O539" s="5" t="n"/>
    </row>
    <row r="540">
      <c r="D540" s="5" t="n"/>
      <c r="H540" s="6" t="n"/>
      <c r="J540" s="8" t="n"/>
      <c r="K540" s="6" t="n"/>
      <c r="L540" s="9" t="n"/>
      <c r="M540" s="5" t="n"/>
      <c r="N540" s="5" t="n"/>
      <c r="O540" s="5" t="n"/>
    </row>
    <row r="541">
      <c r="D541" s="5" t="n"/>
      <c r="H541" s="6" t="n"/>
      <c r="J541" s="8" t="n"/>
      <c r="K541" s="6" t="n"/>
      <c r="L541" s="9" t="n"/>
      <c r="M541" s="5" t="n"/>
      <c r="N541" s="5" t="n"/>
      <c r="O541" s="5" t="n"/>
    </row>
    <row r="542">
      <c r="D542" s="5" t="n"/>
      <c r="H542" s="6" t="n"/>
      <c r="J542" s="8" t="n"/>
      <c r="K542" s="6" t="n"/>
      <c r="L542" s="9" t="n"/>
      <c r="M542" s="5" t="n"/>
      <c r="N542" s="5" t="n"/>
      <c r="O542" s="5" t="n"/>
    </row>
    <row r="543">
      <c r="D543" s="5" t="n"/>
      <c r="H543" s="6" t="n"/>
      <c r="J543" s="8" t="n"/>
      <c r="K543" s="6" t="n"/>
      <c r="L543" s="9" t="n"/>
      <c r="M543" s="5" t="n"/>
      <c r="N543" s="5" t="n"/>
      <c r="O543" s="5" t="n"/>
    </row>
    <row r="544">
      <c r="D544" s="5" t="n"/>
      <c r="H544" s="6" t="n"/>
      <c r="J544" s="8" t="n"/>
      <c r="K544" s="6" t="n"/>
      <c r="L544" s="9" t="n"/>
      <c r="M544" s="5" t="n"/>
      <c r="N544" s="5" t="n"/>
      <c r="O544" s="5" t="n"/>
    </row>
    <row r="545">
      <c r="D545" s="5" t="n"/>
      <c r="H545" s="6" t="n"/>
      <c r="J545" s="8" t="n"/>
      <c r="K545" s="6" t="n"/>
      <c r="L545" s="9" t="n"/>
      <c r="M545" s="5" t="n"/>
      <c r="N545" s="5" t="n"/>
      <c r="O545" s="5" t="n"/>
    </row>
    <row r="546">
      <c r="D546" s="5" t="n"/>
      <c r="H546" s="6" t="n"/>
      <c r="J546" s="8" t="n"/>
      <c r="K546" s="6" t="n"/>
      <c r="L546" s="9" t="n"/>
      <c r="M546" s="5" t="n"/>
      <c r="N546" s="5" t="n"/>
      <c r="O546" s="5" t="n"/>
    </row>
    <row r="547">
      <c r="D547" s="5" t="n"/>
      <c r="H547" s="6" t="n"/>
      <c r="J547" s="8" t="n"/>
      <c r="K547" s="6" t="n"/>
      <c r="L547" s="9" t="n"/>
      <c r="M547" s="5" t="n"/>
      <c r="N547" s="5" t="n"/>
      <c r="O547" s="5" t="n"/>
    </row>
    <row r="548">
      <c r="D548" s="5" t="n"/>
      <c r="H548" s="6" t="n"/>
      <c r="J548" s="8" t="n"/>
      <c r="K548" s="6" t="n"/>
      <c r="L548" s="9" t="n"/>
      <c r="M548" s="5" t="n"/>
      <c r="N548" s="5" t="n"/>
      <c r="O548" s="5" t="n"/>
    </row>
    <row r="549">
      <c r="D549" s="5" t="n"/>
      <c r="H549" s="6" t="n"/>
      <c r="J549" s="8" t="n"/>
      <c r="K549" s="6" t="n"/>
      <c r="L549" s="9" t="n"/>
      <c r="M549" s="5" t="n"/>
      <c r="N549" s="5" t="n"/>
      <c r="O549" s="5" t="n"/>
    </row>
    <row r="550">
      <c r="D550" s="5" t="n"/>
      <c r="H550" s="6" t="n"/>
      <c r="J550" s="8" t="n"/>
      <c r="K550" s="6" t="n"/>
      <c r="L550" s="9" t="n"/>
      <c r="M550" s="5" t="n"/>
      <c r="N550" s="5" t="n"/>
      <c r="O550" s="5" t="n"/>
    </row>
    <row r="551">
      <c r="D551" s="5" t="n"/>
      <c r="H551" s="6" t="n"/>
      <c r="J551" s="8" t="n"/>
      <c r="K551" s="6" t="n"/>
      <c r="L551" s="9" t="n"/>
      <c r="M551" s="5" t="n"/>
      <c r="N551" s="5" t="n"/>
      <c r="O551" s="5" t="n"/>
    </row>
    <row r="552">
      <c r="D552" s="5" t="n"/>
      <c r="H552" s="6" t="n"/>
      <c r="J552" s="8" t="n"/>
      <c r="K552" s="6" t="n"/>
      <c r="L552" s="9" t="n"/>
      <c r="M552" s="5" t="n"/>
      <c r="N552" s="5" t="n"/>
      <c r="O552" s="5" t="n"/>
    </row>
    <row r="553">
      <c r="D553" s="5" t="n"/>
      <c r="H553" s="6" t="n"/>
      <c r="J553" s="8" t="n"/>
      <c r="K553" s="6" t="n"/>
      <c r="L553" s="9" t="n"/>
      <c r="M553" s="5" t="n"/>
      <c r="N553" s="5" t="n"/>
      <c r="O553" s="5" t="n"/>
    </row>
    <row r="554">
      <c r="D554" s="5" t="n"/>
      <c r="H554" s="6" t="n"/>
      <c r="J554" s="8" t="n"/>
      <c r="K554" s="6" t="n"/>
      <c r="L554" s="9" t="n"/>
      <c r="M554" s="5" t="n"/>
      <c r="N554" s="5" t="n"/>
      <c r="O554" s="5" t="n"/>
    </row>
    <row r="555">
      <c r="D555" s="5" t="n"/>
      <c r="H555" s="6" t="n"/>
      <c r="J555" s="8" t="n"/>
      <c r="K555" s="6" t="n"/>
      <c r="L555" s="9" t="n"/>
      <c r="M555" s="5" t="n"/>
      <c r="N555" s="5" t="n"/>
      <c r="O555" s="5" t="n"/>
    </row>
    <row r="556">
      <c r="D556" s="5" t="n"/>
      <c r="H556" s="6" t="n"/>
      <c r="J556" s="8" t="n"/>
      <c r="K556" s="6" t="n"/>
      <c r="L556" s="9" t="n"/>
      <c r="M556" s="5" t="n"/>
      <c r="N556" s="5" t="n"/>
      <c r="O556" s="5" t="n"/>
    </row>
    <row r="557">
      <c r="D557" s="5" t="n"/>
      <c r="H557" s="6" t="n"/>
      <c r="J557" s="8" t="n"/>
      <c r="K557" s="6" t="n"/>
      <c r="L557" s="9" t="n"/>
      <c r="M557" s="5" t="n"/>
      <c r="N557" s="5" t="n"/>
      <c r="O557" s="5" t="n"/>
    </row>
    <row r="558">
      <c r="D558" s="5" t="n"/>
      <c r="H558" s="6" t="n"/>
      <c r="J558" s="8" t="n"/>
      <c r="K558" s="6" t="n"/>
      <c r="L558" s="9" t="n"/>
      <c r="M558" s="5" t="n"/>
      <c r="N558" s="5" t="n"/>
      <c r="O558" s="5" t="n"/>
    </row>
    <row r="559">
      <c r="D559" s="5" t="n"/>
      <c r="H559" s="6" t="n"/>
      <c r="J559" s="8" t="n"/>
      <c r="K559" s="6" t="n"/>
      <c r="L559" s="9" t="n"/>
      <c r="M559" s="5" t="n"/>
      <c r="N559" s="5" t="n"/>
      <c r="O559" s="5" t="n"/>
    </row>
    <row r="560">
      <c r="D560" s="5" t="n"/>
      <c r="H560" s="6" t="n"/>
      <c r="J560" s="8" t="n"/>
      <c r="K560" s="6" t="n"/>
      <c r="L560" s="9" t="n"/>
      <c r="M560" s="5" t="n"/>
      <c r="N560" s="5" t="n"/>
      <c r="O560" s="5" t="n"/>
    </row>
    <row r="561">
      <c r="D561" s="5" t="n"/>
      <c r="H561" s="6" t="n"/>
      <c r="J561" s="8" t="n"/>
      <c r="K561" s="6" t="n"/>
      <c r="L561" s="9" t="n"/>
      <c r="M561" s="5" t="n"/>
      <c r="N561" s="5" t="n"/>
      <c r="O561" s="5" t="n"/>
    </row>
    <row r="562">
      <c r="D562" s="5" t="n"/>
      <c r="H562" s="6" t="n"/>
      <c r="J562" s="8" t="n"/>
      <c r="K562" s="6" t="n"/>
      <c r="L562" s="9" t="n"/>
      <c r="M562" s="5" t="n"/>
      <c r="N562" s="5" t="n"/>
      <c r="O562" s="5" t="n"/>
    </row>
    <row r="563">
      <c r="D563" s="5" t="n"/>
      <c r="H563" s="6" t="n"/>
      <c r="J563" s="8" t="n"/>
      <c r="K563" s="6" t="n"/>
      <c r="L563" s="9" t="n"/>
      <c r="M563" s="5" t="n"/>
      <c r="N563" s="5" t="n"/>
      <c r="O563" s="5" t="n"/>
    </row>
    <row r="564">
      <c r="D564" s="5" t="n"/>
      <c r="H564" s="6" t="n"/>
      <c r="J564" s="8" t="n"/>
      <c r="K564" s="6" t="n"/>
      <c r="L564" s="9" t="n"/>
      <c r="M564" s="5" t="n"/>
      <c r="N564" s="5" t="n"/>
      <c r="O564" s="5" t="n"/>
    </row>
    <row r="565">
      <c r="D565" s="5" t="n"/>
      <c r="H565" s="6" t="n"/>
      <c r="J565" s="8" t="n"/>
      <c r="K565" s="6" t="n"/>
      <c r="L565" s="9" t="n"/>
      <c r="M565" s="5" t="n"/>
      <c r="N565" s="5" t="n"/>
      <c r="O565" s="5" t="n"/>
    </row>
    <row r="566">
      <c r="D566" s="5" t="n"/>
      <c r="H566" s="6" t="n"/>
      <c r="J566" s="8" t="n"/>
      <c r="K566" s="6" t="n"/>
      <c r="L566" s="9" t="n"/>
      <c r="M566" s="5" t="n"/>
      <c r="N566" s="5" t="n"/>
      <c r="O566" s="5" t="n"/>
    </row>
    <row r="567">
      <c r="D567" s="5" t="n"/>
      <c r="H567" s="6" t="n"/>
      <c r="J567" s="8" t="n"/>
      <c r="K567" s="6" t="n"/>
      <c r="L567" s="9" t="n"/>
      <c r="M567" s="5" t="n"/>
      <c r="N567" s="5" t="n"/>
      <c r="O567" s="5" t="n"/>
    </row>
    <row r="568">
      <c r="D568" s="5" t="n"/>
      <c r="H568" s="6" t="n"/>
      <c r="J568" s="8" t="n"/>
      <c r="K568" s="6" t="n"/>
      <c r="L568" s="9" t="n"/>
      <c r="M568" s="5" t="n"/>
      <c r="N568" s="5" t="n"/>
      <c r="O568" s="5" t="n"/>
    </row>
    <row r="569">
      <c r="D569" s="5" t="n"/>
      <c r="H569" s="6" t="n"/>
      <c r="J569" s="8" t="n"/>
      <c r="K569" s="6" t="n"/>
      <c r="L569" s="9" t="n"/>
      <c r="M569" s="5" t="n"/>
      <c r="N569" s="5" t="n"/>
      <c r="O569" s="5" t="n"/>
    </row>
    <row r="570">
      <c r="D570" s="5" t="n"/>
      <c r="H570" s="6" t="n"/>
      <c r="J570" s="8" t="n"/>
      <c r="K570" s="6" t="n"/>
      <c r="L570" s="9" t="n"/>
      <c r="M570" s="5" t="n"/>
      <c r="N570" s="5" t="n"/>
      <c r="O570" s="5" t="n"/>
    </row>
    <row r="571">
      <c r="D571" s="5" t="n"/>
      <c r="H571" s="6" t="n"/>
      <c r="J571" s="8" t="n"/>
      <c r="K571" s="6" t="n"/>
      <c r="L571" s="9" t="n"/>
      <c r="M571" s="5" t="n"/>
      <c r="N571" s="5" t="n"/>
      <c r="O571" s="5" t="n"/>
    </row>
    <row r="572">
      <c r="D572" s="5" t="n"/>
      <c r="H572" s="6" t="n"/>
      <c r="J572" s="8" t="n"/>
      <c r="K572" s="6" t="n"/>
      <c r="L572" s="9" t="n"/>
      <c r="M572" s="5" t="n"/>
      <c r="N572" s="5" t="n"/>
      <c r="O572" s="5" t="n"/>
    </row>
    <row r="573">
      <c r="D573" s="5" t="n"/>
      <c r="H573" s="6" t="n"/>
      <c r="J573" s="8" t="n"/>
      <c r="K573" s="6" t="n"/>
      <c r="L573" s="9" t="n"/>
      <c r="M573" s="5" t="n"/>
      <c r="N573" s="5" t="n"/>
      <c r="O573" s="5" t="n"/>
    </row>
    <row r="574">
      <c r="D574" s="5" t="n"/>
      <c r="H574" s="6" t="n"/>
      <c r="J574" s="8" t="n"/>
      <c r="K574" s="6" t="n"/>
      <c r="L574" s="9" t="n"/>
      <c r="M574" s="5" t="n"/>
      <c r="N574" s="5" t="n"/>
      <c r="O574" s="5" t="n"/>
    </row>
    <row r="575">
      <c r="D575" s="5" t="n"/>
      <c r="H575" s="6" t="n"/>
      <c r="J575" s="8" t="n"/>
      <c r="K575" s="6" t="n"/>
      <c r="L575" s="9" t="n"/>
      <c r="M575" s="5" t="n"/>
      <c r="N575" s="5" t="n"/>
      <c r="O575" s="5" t="n"/>
    </row>
    <row r="576">
      <c r="D576" s="5" t="n"/>
      <c r="H576" s="6" t="n"/>
      <c r="J576" s="8" t="n"/>
      <c r="K576" s="6" t="n"/>
      <c r="L576" s="9" t="n"/>
      <c r="M576" s="5" t="n"/>
      <c r="N576" s="5" t="n"/>
      <c r="O576" s="5" t="n"/>
    </row>
    <row r="577">
      <c r="D577" s="5" t="n"/>
      <c r="H577" s="6" t="n"/>
      <c r="J577" s="8" t="n"/>
      <c r="K577" s="6" t="n"/>
      <c r="L577" s="9" t="n"/>
      <c r="M577" s="5" t="n"/>
      <c r="N577" s="5" t="n"/>
      <c r="O577" s="5" t="n"/>
    </row>
    <row r="578">
      <c r="D578" s="5" t="n"/>
      <c r="H578" s="6" t="n"/>
      <c r="J578" s="8" t="n"/>
      <c r="K578" s="6" t="n"/>
      <c r="L578" s="9" t="n"/>
      <c r="M578" s="5" t="n"/>
      <c r="N578" s="5" t="n"/>
      <c r="O578" s="5" t="n"/>
    </row>
    <row r="579">
      <c r="D579" s="5" t="n"/>
      <c r="H579" s="6" t="n"/>
      <c r="J579" s="8" t="n"/>
      <c r="K579" s="6" t="n"/>
      <c r="L579" s="9" t="n"/>
      <c r="M579" s="5" t="n"/>
      <c r="N579" s="5" t="n"/>
      <c r="O579" s="5" t="n"/>
    </row>
    <row r="580">
      <c r="D580" s="5" t="n"/>
      <c r="H580" s="6" t="n"/>
      <c r="J580" s="8" t="n"/>
      <c r="K580" s="6" t="n"/>
      <c r="L580" s="9" t="n"/>
      <c r="M580" s="5" t="n"/>
      <c r="N580" s="5" t="n"/>
      <c r="O580" s="5" t="n"/>
    </row>
    <row r="581">
      <c r="D581" s="5" t="n"/>
      <c r="H581" s="6" t="n"/>
      <c r="J581" s="8" t="n"/>
      <c r="K581" s="6" t="n"/>
      <c r="L581" s="9" t="n"/>
      <c r="M581" s="5" t="n"/>
      <c r="N581" s="5" t="n"/>
      <c r="O581" s="5" t="n"/>
    </row>
    <row r="582">
      <c r="D582" s="5" t="n"/>
      <c r="H582" s="6" t="n"/>
      <c r="J582" s="8" t="n"/>
      <c r="K582" s="6" t="n"/>
      <c r="L582" s="9" t="n"/>
      <c r="M582" s="5" t="n"/>
      <c r="N582" s="5" t="n"/>
      <c r="O582" s="5" t="n"/>
    </row>
    <row r="583">
      <c r="D583" s="5" t="n"/>
      <c r="H583" s="6" t="n"/>
      <c r="J583" s="8" t="n"/>
      <c r="K583" s="6" t="n"/>
      <c r="L583" s="9" t="n"/>
      <c r="M583" s="5" t="n"/>
      <c r="N583" s="5" t="n"/>
      <c r="O583" s="5" t="n"/>
    </row>
    <row r="584">
      <c r="D584" s="5" t="n"/>
      <c r="H584" s="6" t="n"/>
      <c r="J584" s="8" t="n"/>
      <c r="K584" s="6" t="n"/>
      <c r="L584" s="9" t="n"/>
      <c r="M584" s="5" t="n"/>
      <c r="N584" s="5" t="n"/>
      <c r="O584" s="5" t="n"/>
    </row>
    <row r="585">
      <c r="D585" s="5" t="n"/>
      <c r="H585" s="6" t="n"/>
      <c r="J585" s="8" t="n"/>
      <c r="K585" s="6" t="n"/>
      <c r="L585" s="9" t="n"/>
      <c r="M585" s="5" t="n"/>
      <c r="N585" s="5" t="n"/>
      <c r="O585" s="5" t="n"/>
    </row>
    <row r="586">
      <c r="D586" s="5" t="n"/>
      <c r="H586" s="6" t="n"/>
      <c r="J586" s="8" t="n"/>
      <c r="K586" s="6" t="n"/>
      <c r="L586" s="9" t="n"/>
      <c r="M586" s="5" t="n"/>
      <c r="N586" s="5" t="n"/>
      <c r="O586" s="5" t="n"/>
    </row>
    <row r="587">
      <c r="D587" s="5" t="n"/>
      <c r="H587" s="6" t="n"/>
      <c r="J587" s="8" t="n"/>
      <c r="K587" s="6" t="n"/>
      <c r="L587" s="9" t="n"/>
      <c r="M587" s="5" t="n"/>
      <c r="N587" s="5" t="n"/>
      <c r="O587" s="5" t="n"/>
    </row>
    <row r="588">
      <c r="D588" s="5" t="n"/>
      <c r="H588" s="6" t="n"/>
      <c r="J588" s="8" t="n"/>
      <c r="K588" s="6" t="n"/>
      <c r="L588" s="9" t="n"/>
      <c r="M588" s="5" t="n"/>
      <c r="N588" s="5" t="n"/>
      <c r="O588" s="5" t="n"/>
    </row>
    <row r="589">
      <c r="D589" s="5" t="n"/>
      <c r="H589" s="6" t="n"/>
      <c r="J589" s="8" t="n"/>
      <c r="K589" s="6" t="n"/>
      <c r="L589" s="9" t="n"/>
      <c r="M589" s="5" t="n"/>
      <c r="N589" s="5" t="n"/>
      <c r="O589" s="5" t="n"/>
    </row>
    <row r="590">
      <c r="D590" s="5" t="n"/>
      <c r="H590" s="6" t="n"/>
      <c r="J590" s="8" t="n"/>
      <c r="K590" s="6" t="n"/>
      <c r="L590" s="9" t="n"/>
      <c r="M590" s="5" t="n"/>
      <c r="N590" s="5" t="n"/>
      <c r="O590" s="5" t="n"/>
    </row>
    <row r="591">
      <c r="D591" s="5" t="n"/>
      <c r="H591" s="6" t="n"/>
      <c r="J591" s="8" t="n"/>
      <c r="K591" s="6" t="n"/>
      <c r="L591" s="9" t="n"/>
      <c r="M591" s="5" t="n"/>
      <c r="N591" s="5" t="n"/>
      <c r="O591" s="5" t="n"/>
    </row>
    <row r="592">
      <c r="D592" s="5" t="n"/>
      <c r="H592" s="6" t="n"/>
      <c r="J592" s="8" t="n"/>
      <c r="K592" s="6" t="n"/>
      <c r="L592" s="9" t="n"/>
      <c r="M592" s="5" t="n"/>
      <c r="N592" s="5" t="n"/>
      <c r="O592" s="5" t="n"/>
    </row>
    <row r="593">
      <c r="D593" s="5" t="n"/>
      <c r="H593" s="6" t="n"/>
      <c r="J593" s="8" t="n"/>
      <c r="K593" s="6" t="n"/>
      <c r="L593" s="9" t="n"/>
      <c r="M593" s="5" t="n"/>
      <c r="N593" s="5" t="n"/>
      <c r="O593" s="5" t="n"/>
    </row>
    <row r="594">
      <c r="D594" s="5" t="n"/>
      <c r="H594" s="6" t="n"/>
      <c r="J594" s="8" t="n"/>
      <c r="K594" s="6" t="n"/>
      <c r="L594" s="9" t="n"/>
      <c r="M594" s="5" t="n"/>
      <c r="N594" s="5" t="n"/>
      <c r="O594" s="5" t="n"/>
    </row>
    <row r="595">
      <c r="D595" s="5" t="n"/>
      <c r="H595" s="6" t="n"/>
      <c r="J595" s="8" t="n"/>
      <c r="K595" s="6" t="n"/>
      <c r="L595" s="9" t="n"/>
      <c r="M595" s="5" t="n"/>
      <c r="N595" s="5" t="n"/>
      <c r="O595" s="5" t="n"/>
    </row>
    <row r="596">
      <c r="D596" s="5" t="n"/>
      <c r="H596" s="6" t="n"/>
      <c r="J596" s="8" t="n"/>
      <c r="K596" s="6" t="n"/>
      <c r="L596" s="9" t="n"/>
      <c r="M596" s="5" t="n"/>
      <c r="N596" s="5" t="n"/>
      <c r="O596" s="5" t="n"/>
    </row>
    <row r="597">
      <c r="D597" s="5" t="n"/>
      <c r="H597" s="6" t="n"/>
      <c r="J597" s="8" t="n"/>
      <c r="K597" s="6" t="n"/>
      <c r="L597" s="9" t="n"/>
      <c r="M597" s="5" t="n"/>
      <c r="N597" s="5" t="n"/>
      <c r="O597" s="5" t="n"/>
    </row>
    <row r="598">
      <c r="D598" s="5" t="n"/>
      <c r="H598" s="6" t="n"/>
      <c r="J598" s="8" t="n"/>
      <c r="K598" s="6" t="n"/>
      <c r="L598" s="9" t="n"/>
      <c r="M598" s="5" t="n"/>
      <c r="N598" s="5" t="n"/>
      <c r="O598" s="5" t="n"/>
    </row>
    <row r="599">
      <c r="D599" s="5" t="n"/>
      <c r="H599" s="6" t="n"/>
      <c r="J599" s="8" t="n"/>
      <c r="K599" s="6" t="n"/>
      <c r="L599" s="9" t="n"/>
      <c r="M599" s="5" t="n"/>
      <c r="N599" s="5" t="n"/>
      <c r="O599" s="5" t="n"/>
    </row>
    <row r="600">
      <c r="D600" s="5" t="n"/>
      <c r="H600" s="6" t="n"/>
      <c r="J600" s="8" t="n"/>
      <c r="K600" s="6" t="n"/>
      <c r="L600" s="9" t="n"/>
      <c r="M600" s="5" t="n"/>
      <c r="N600" s="5" t="n"/>
      <c r="O600" s="5" t="n"/>
    </row>
    <row r="601">
      <c r="D601" s="5" t="n"/>
      <c r="H601" s="6" t="n"/>
      <c r="J601" s="8" t="n"/>
      <c r="K601" s="6" t="n"/>
      <c r="L601" s="9" t="n"/>
      <c r="M601" s="5" t="n"/>
      <c r="N601" s="5" t="n"/>
      <c r="O601" s="5" t="n"/>
    </row>
    <row r="602">
      <c r="D602" s="5" t="n"/>
      <c r="H602" s="6" t="n"/>
      <c r="J602" s="8" t="n"/>
      <c r="K602" s="6" t="n"/>
      <c r="L602" s="9" t="n"/>
      <c r="M602" s="5" t="n"/>
      <c r="N602" s="5" t="n"/>
      <c r="O602" s="5" t="n"/>
    </row>
    <row r="603">
      <c r="D603" s="5" t="n"/>
      <c r="H603" s="6" t="n"/>
      <c r="J603" s="8" t="n"/>
      <c r="K603" s="6" t="n"/>
      <c r="L603" s="9" t="n"/>
      <c r="M603" s="5" t="n"/>
      <c r="N603" s="5" t="n"/>
      <c r="O603" s="5" t="n"/>
    </row>
    <row r="604">
      <c r="D604" s="5" t="n"/>
      <c r="H604" s="6" t="n"/>
      <c r="J604" s="8" t="n"/>
      <c r="K604" s="6" t="n"/>
      <c r="L604" s="9" t="n"/>
      <c r="M604" s="5" t="n"/>
      <c r="N604" s="5" t="n"/>
      <c r="O604" s="5" t="n"/>
    </row>
    <row r="605">
      <c r="D605" s="5" t="n"/>
      <c r="H605" s="6" t="n"/>
      <c r="J605" s="8" t="n"/>
      <c r="K605" s="6" t="n"/>
      <c r="L605" s="9" t="n"/>
      <c r="M605" s="5" t="n"/>
      <c r="N605" s="5" t="n"/>
      <c r="O605" s="5" t="n"/>
    </row>
    <row r="606">
      <c r="D606" s="5" t="n"/>
      <c r="H606" s="6" t="n"/>
      <c r="J606" s="8" t="n"/>
      <c r="K606" s="6" t="n"/>
      <c r="L606" s="9" t="n"/>
      <c r="M606" s="5" t="n"/>
      <c r="N606" s="5" t="n"/>
      <c r="O606" s="5" t="n"/>
    </row>
    <row r="607">
      <c r="D607" s="5" t="n"/>
      <c r="H607" s="6" t="n"/>
      <c r="J607" s="8" t="n"/>
      <c r="K607" s="6" t="n"/>
      <c r="L607" s="9" t="n"/>
      <c r="M607" s="5" t="n"/>
      <c r="N607" s="5" t="n"/>
      <c r="O607" s="5" t="n"/>
    </row>
    <row r="608">
      <c r="D608" s="5" t="n"/>
      <c r="H608" s="6" t="n"/>
      <c r="J608" s="8" t="n"/>
      <c r="K608" s="6" t="n"/>
      <c r="L608" s="9" t="n"/>
      <c r="M608" s="5" t="n"/>
      <c r="N608" s="5" t="n"/>
      <c r="O608" s="5" t="n"/>
    </row>
    <row r="609">
      <c r="D609" s="5" t="n"/>
      <c r="H609" s="6" t="n"/>
      <c r="J609" s="8" t="n"/>
      <c r="K609" s="6" t="n"/>
      <c r="L609" s="9" t="n"/>
      <c r="M609" s="5" t="n"/>
      <c r="N609" s="5" t="n"/>
      <c r="O609" s="5" t="n"/>
    </row>
    <row r="610">
      <c r="D610" s="5" t="n"/>
      <c r="H610" s="6" t="n"/>
      <c r="J610" s="8" t="n"/>
      <c r="K610" s="6" t="n"/>
      <c r="L610" s="9" t="n"/>
      <c r="M610" s="5" t="n"/>
      <c r="N610" s="5" t="n"/>
      <c r="O610" s="5" t="n"/>
    </row>
    <row r="611">
      <c r="D611" s="5" t="n"/>
      <c r="H611" s="6" t="n"/>
      <c r="J611" s="8" t="n"/>
      <c r="K611" s="6" t="n"/>
      <c r="L611" s="9" t="n"/>
      <c r="M611" s="5" t="n"/>
      <c r="N611" s="5" t="n"/>
      <c r="O611" s="5" t="n"/>
    </row>
    <row r="612">
      <c r="D612" s="5" t="n"/>
      <c r="H612" s="6" t="n"/>
      <c r="J612" s="8" t="n"/>
      <c r="K612" s="6" t="n"/>
      <c r="L612" s="9" t="n"/>
      <c r="M612" s="5" t="n"/>
      <c r="N612" s="5" t="n"/>
      <c r="O612" s="5" t="n"/>
    </row>
    <row r="613">
      <c r="D613" s="5" t="n"/>
      <c r="H613" s="6" t="n"/>
      <c r="J613" s="8" t="n"/>
      <c r="K613" s="6" t="n"/>
      <c r="L613" s="9" t="n"/>
      <c r="M613" s="5" t="n"/>
      <c r="N613" s="5" t="n"/>
      <c r="O613" s="5" t="n"/>
    </row>
    <row r="614">
      <c r="D614" s="5" t="n"/>
      <c r="H614" s="6" t="n"/>
      <c r="J614" s="8" t="n"/>
      <c r="K614" s="6" t="n"/>
      <c r="L614" s="9" t="n"/>
      <c r="M614" s="5" t="n"/>
      <c r="N614" s="5" t="n"/>
      <c r="O614" s="5" t="n"/>
    </row>
    <row r="615">
      <c r="D615" s="5" t="n"/>
      <c r="H615" s="6" t="n"/>
      <c r="J615" s="8" t="n"/>
      <c r="K615" s="6" t="n"/>
      <c r="L615" s="9" t="n"/>
      <c r="M615" s="5" t="n"/>
      <c r="N615" s="5" t="n"/>
      <c r="O615" s="5" t="n"/>
    </row>
    <row r="616">
      <c r="D616" s="5" t="n"/>
      <c r="H616" s="6" t="n"/>
      <c r="J616" s="8" t="n"/>
      <c r="K616" s="6" t="n"/>
      <c r="L616" s="9" t="n"/>
      <c r="M616" s="5" t="n"/>
      <c r="N616" s="5" t="n"/>
      <c r="O616" s="5" t="n"/>
    </row>
    <row r="617">
      <c r="D617" s="5" t="n"/>
      <c r="H617" s="6" t="n"/>
      <c r="J617" s="8" t="n"/>
      <c r="K617" s="6" t="n"/>
      <c r="L617" s="9" t="n"/>
      <c r="M617" s="5" t="n"/>
      <c r="N617" s="5" t="n"/>
      <c r="O617" s="5" t="n"/>
    </row>
    <row r="618">
      <c r="D618" s="5" t="n"/>
      <c r="H618" s="6" t="n"/>
      <c r="J618" s="8" t="n"/>
      <c r="K618" s="6" t="n"/>
      <c r="L618" s="9" t="n"/>
      <c r="M618" s="5" t="n"/>
      <c r="N618" s="5" t="n"/>
      <c r="O618" s="5" t="n"/>
    </row>
    <row r="619">
      <c r="D619" s="5" t="n"/>
      <c r="H619" s="6" t="n"/>
      <c r="J619" s="8" t="n"/>
      <c r="K619" s="6" t="n"/>
      <c r="L619" s="9" t="n"/>
      <c r="M619" s="5" t="n"/>
      <c r="N619" s="5" t="n"/>
      <c r="O619" s="5" t="n"/>
    </row>
    <row r="620">
      <c r="D620" s="5" t="n"/>
      <c r="H620" s="6" t="n"/>
      <c r="J620" s="8" t="n"/>
      <c r="K620" s="6" t="n"/>
      <c r="L620" s="9" t="n"/>
      <c r="M620" s="5" t="n"/>
      <c r="N620" s="5" t="n"/>
      <c r="O620" s="5" t="n"/>
    </row>
    <row r="621">
      <c r="D621" s="5" t="n"/>
      <c r="H621" s="6" t="n"/>
      <c r="J621" s="8" t="n"/>
      <c r="K621" s="6" t="n"/>
      <c r="L621" s="9" t="n"/>
      <c r="M621" s="5" t="n"/>
      <c r="N621" s="5" t="n"/>
      <c r="O621" s="5" t="n"/>
    </row>
    <row r="622">
      <c r="D622" s="5" t="n"/>
      <c r="H622" s="6" t="n"/>
      <c r="J622" s="8" t="n"/>
      <c r="K622" s="6" t="n"/>
      <c r="L622" s="9" t="n"/>
      <c r="M622" s="5" t="n"/>
      <c r="N622" s="5" t="n"/>
      <c r="O622" s="5" t="n"/>
    </row>
    <row r="623">
      <c r="D623" s="5" t="n"/>
      <c r="H623" s="6" t="n"/>
      <c r="J623" s="8" t="n"/>
      <c r="K623" s="6" t="n"/>
      <c r="L623" s="9" t="n"/>
      <c r="M623" s="5" t="n"/>
      <c r="N623" s="5" t="n"/>
      <c r="O623" s="5" t="n"/>
    </row>
    <row r="624">
      <c r="D624" s="5" t="n"/>
      <c r="H624" s="6" t="n"/>
      <c r="J624" s="8" t="n"/>
      <c r="K624" s="6" t="n"/>
      <c r="L624" s="9" t="n"/>
      <c r="M624" s="5" t="n"/>
      <c r="N624" s="5" t="n"/>
      <c r="O624" s="5" t="n"/>
    </row>
    <row r="625">
      <c r="D625" s="5" t="n"/>
      <c r="H625" s="6" t="n"/>
      <c r="J625" s="8" t="n"/>
      <c r="K625" s="6" t="n"/>
      <c r="L625" s="9" t="n"/>
      <c r="M625" s="5" t="n"/>
      <c r="N625" s="5" t="n"/>
      <c r="O625" s="5" t="n"/>
    </row>
    <row r="626">
      <c r="D626" s="5" t="n"/>
      <c r="H626" s="6" t="n"/>
      <c r="J626" s="8" t="n"/>
      <c r="K626" s="6" t="n"/>
      <c r="L626" s="9" t="n"/>
      <c r="M626" s="5" t="n"/>
      <c r="N626" s="5" t="n"/>
      <c r="O626" s="5" t="n"/>
    </row>
    <row r="627">
      <c r="D627" s="5" t="n"/>
      <c r="H627" s="6" t="n"/>
      <c r="J627" s="8" t="n"/>
      <c r="K627" s="6" t="n"/>
      <c r="L627" s="9" t="n"/>
      <c r="M627" s="5" t="n"/>
      <c r="N627" s="5" t="n"/>
      <c r="O627" s="5" t="n"/>
    </row>
    <row r="628">
      <c r="D628" s="5" t="n"/>
      <c r="H628" s="6" t="n"/>
      <c r="J628" s="8" t="n"/>
      <c r="K628" s="6" t="n"/>
      <c r="L628" s="9" t="n"/>
      <c r="M628" s="5" t="n"/>
      <c r="N628" s="5" t="n"/>
      <c r="O628" s="5" t="n"/>
    </row>
    <row r="629">
      <c r="D629" s="5" t="n"/>
      <c r="H629" s="6" t="n"/>
      <c r="J629" s="8" t="n"/>
      <c r="K629" s="6" t="n"/>
      <c r="L629" s="9" t="n"/>
      <c r="M629" s="5" t="n"/>
      <c r="N629" s="5" t="n"/>
      <c r="O629" s="5" t="n"/>
    </row>
    <row r="630">
      <c r="D630" s="5" t="n"/>
      <c r="H630" s="6" t="n"/>
      <c r="J630" s="8" t="n"/>
      <c r="K630" s="6" t="n"/>
      <c r="L630" s="9" t="n"/>
      <c r="M630" s="5" t="n"/>
      <c r="N630" s="5" t="n"/>
      <c r="O630" s="5" t="n"/>
    </row>
    <row r="631">
      <c r="D631" s="5" t="n"/>
      <c r="H631" s="6" t="n"/>
      <c r="J631" s="8" t="n"/>
      <c r="K631" s="6" t="n"/>
      <c r="L631" s="9" t="n"/>
      <c r="M631" s="5" t="n"/>
      <c r="N631" s="5" t="n"/>
      <c r="O631" s="5" t="n"/>
    </row>
    <row r="632">
      <c r="D632" s="5" t="n"/>
      <c r="H632" s="6" t="n"/>
      <c r="J632" s="8" t="n"/>
      <c r="K632" s="6" t="n"/>
      <c r="L632" s="9" t="n"/>
      <c r="M632" s="5" t="n"/>
      <c r="N632" s="5" t="n"/>
      <c r="O632" s="5" t="n"/>
    </row>
    <row r="633">
      <c r="D633" s="5" t="n"/>
      <c r="H633" s="6" t="n"/>
      <c r="J633" s="8" t="n"/>
      <c r="K633" s="6" t="n"/>
      <c r="L633" s="9" t="n"/>
      <c r="M633" s="5" t="n"/>
      <c r="N633" s="5" t="n"/>
      <c r="O633" s="5" t="n"/>
    </row>
    <row r="634">
      <c r="D634" s="5" t="n"/>
      <c r="H634" s="6" t="n"/>
      <c r="J634" s="8" t="n"/>
      <c r="K634" s="6" t="n"/>
      <c r="L634" s="9" t="n"/>
      <c r="M634" s="5" t="n"/>
      <c r="N634" s="5" t="n"/>
      <c r="O634" s="5" t="n"/>
    </row>
    <row r="635">
      <c r="D635" s="5" t="n"/>
      <c r="H635" s="6" t="n"/>
      <c r="J635" s="8" t="n"/>
      <c r="K635" s="6" t="n"/>
      <c r="L635" s="9" t="n"/>
      <c r="M635" s="5" t="n"/>
      <c r="N635" s="5" t="n"/>
      <c r="O635" s="5" t="n"/>
    </row>
    <row r="636">
      <c r="D636" s="5" t="n"/>
      <c r="H636" s="6" t="n"/>
      <c r="J636" s="8" t="n"/>
      <c r="K636" s="6" t="n"/>
      <c r="L636" s="9" t="n"/>
      <c r="M636" s="5" t="n"/>
      <c r="N636" s="5" t="n"/>
      <c r="O636" s="5" t="n"/>
    </row>
    <row r="637">
      <c r="D637" s="5" t="n"/>
      <c r="H637" s="6" t="n"/>
      <c r="J637" s="8" t="n"/>
      <c r="K637" s="6" t="n"/>
      <c r="L637" s="9" t="n"/>
      <c r="M637" s="5" t="n"/>
      <c r="N637" s="5" t="n"/>
      <c r="O637" s="5" t="n"/>
    </row>
    <row r="638">
      <c r="D638" s="5" t="n"/>
      <c r="H638" s="6" t="n"/>
      <c r="J638" s="8" t="n"/>
      <c r="K638" s="6" t="n"/>
      <c r="L638" s="9" t="n"/>
      <c r="M638" s="5" t="n"/>
      <c r="N638" s="5" t="n"/>
      <c r="O638" s="5" t="n"/>
    </row>
    <row r="639">
      <c r="D639" s="5" t="n"/>
      <c r="H639" s="6" t="n"/>
      <c r="J639" s="8" t="n"/>
      <c r="K639" s="6" t="n"/>
      <c r="L639" s="9" t="n"/>
      <c r="M639" s="5" t="n"/>
      <c r="N639" s="5" t="n"/>
      <c r="O639" s="5" t="n"/>
    </row>
    <row r="640">
      <c r="D640" s="5" t="n"/>
      <c r="H640" s="6" t="n"/>
      <c r="J640" s="8" t="n"/>
      <c r="K640" s="6" t="n"/>
      <c r="L640" s="9" t="n"/>
      <c r="M640" s="5" t="n"/>
      <c r="N640" s="5" t="n"/>
      <c r="O640" s="5" t="n"/>
    </row>
    <row r="641">
      <c r="D641" s="5" t="n"/>
      <c r="H641" s="6" t="n"/>
      <c r="J641" s="8" t="n"/>
      <c r="K641" s="6" t="n"/>
      <c r="L641" s="9" t="n"/>
      <c r="M641" s="5" t="n"/>
      <c r="N641" s="5" t="n"/>
      <c r="O641" s="5" t="n"/>
    </row>
    <row r="642">
      <c r="D642" s="5" t="n"/>
      <c r="H642" s="6" t="n"/>
      <c r="J642" s="8" t="n"/>
      <c r="K642" s="6" t="n"/>
      <c r="L642" s="9" t="n"/>
      <c r="M642" s="5" t="n"/>
      <c r="N642" s="5" t="n"/>
      <c r="O642" s="5" t="n"/>
    </row>
    <row r="643">
      <c r="D643" s="5" t="n"/>
      <c r="H643" s="6" t="n"/>
      <c r="J643" s="8" t="n"/>
      <c r="K643" s="6" t="n"/>
      <c r="L643" s="9" t="n"/>
      <c r="M643" s="5" t="n"/>
      <c r="N643" s="5" t="n"/>
      <c r="O643" s="5" t="n"/>
    </row>
    <row r="644">
      <c r="D644" s="5" t="n"/>
      <c r="H644" s="6" t="n"/>
      <c r="J644" s="8" t="n"/>
      <c r="K644" s="6" t="n"/>
      <c r="L644" s="9" t="n"/>
      <c r="M644" s="5" t="n"/>
      <c r="N644" s="5" t="n"/>
      <c r="O644" s="5" t="n"/>
    </row>
    <row r="645">
      <c r="D645" s="5" t="n"/>
      <c r="H645" s="6" t="n"/>
      <c r="J645" s="8" t="n"/>
      <c r="K645" s="6" t="n"/>
      <c r="L645" s="9" t="n"/>
      <c r="M645" s="5" t="n"/>
      <c r="N645" s="5" t="n"/>
      <c r="O645" s="5" t="n"/>
    </row>
    <row r="646">
      <c r="D646" s="5" t="n"/>
      <c r="H646" s="6" t="n"/>
      <c r="J646" s="8" t="n"/>
      <c r="K646" s="6" t="n"/>
      <c r="L646" s="9" t="n"/>
      <c r="M646" s="5" t="n"/>
      <c r="N646" s="5" t="n"/>
      <c r="O646" s="5" t="n"/>
    </row>
    <row r="647">
      <c r="D647" s="5" t="n"/>
      <c r="H647" s="6" t="n"/>
      <c r="J647" s="8" t="n"/>
      <c r="K647" s="6" t="n"/>
      <c r="L647" s="9" t="n"/>
      <c r="M647" s="5" t="n"/>
      <c r="N647" s="5" t="n"/>
      <c r="O647" s="5" t="n"/>
    </row>
    <row r="648">
      <c r="D648" s="5" t="n"/>
      <c r="H648" s="6" t="n"/>
      <c r="J648" s="8" t="n"/>
      <c r="K648" s="6" t="n"/>
      <c r="L648" s="9" t="n"/>
      <c r="M648" s="5" t="n"/>
      <c r="N648" s="5" t="n"/>
      <c r="O648" s="5" t="n"/>
    </row>
    <row r="649">
      <c r="D649" s="5" t="n"/>
      <c r="H649" s="6" t="n"/>
      <c r="J649" s="8" t="n"/>
      <c r="K649" s="6" t="n"/>
      <c r="L649" s="9" t="n"/>
      <c r="M649" s="5" t="n"/>
      <c r="N649" s="5" t="n"/>
      <c r="O649" s="5" t="n"/>
    </row>
    <row r="650">
      <c r="D650" s="5" t="n"/>
      <c r="H650" s="6" t="n"/>
      <c r="J650" s="8" t="n"/>
      <c r="K650" s="6" t="n"/>
      <c r="L650" s="9" t="n"/>
      <c r="M650" s="5" t="n"/>
      <c r="N650" s="5" t="n"/>
      <c r="O650" s="5" t="n"/>
    </row>
    <row r="651">
      <c r="D651" s="5" t="n"/>
      <c r="H651" s="6" t="n"/>
      <c r="J651" s="8" t="n"/>
      <c r="K651" s="6" t="n"/>
      <c r="L651" s="9" t="n"/>
      <c r="M651" s="5" t="n"/>
      <c r="N651" s="5" t="n"/>
      <c r="O651" s="5" t="n"/>
    </row>
    <row r="652">
      <c r="D652" s="5" t="n"/>
      <c r="H652" s="6" t="n"/>
      <c r="J652" s="8" t="n"/>
      <c r="K652" s="6" t="n"/>
      <c r="L652" s="9" t="n"/>
      <c r="M652" s="5" t="n"/>
      <c r="N652" s="5" t="n"/>
      <c r="O652" s="5" t="n"/>
    </row>
    <row r="653">
      <c r="D653" s="5" t="n"/>
      <c r="H653" s="6" t="n"/>
      <c r="J653" s="8" t="n"/>
      <c r="K653" s="6" t="n"/>
      <c r="L653" s="9" t="n"/>
      <c r="M653" s="5" t="n"/>
      <c r="N653" s="5" t="n"/>
      <c r="O653" s="5" t="n"/>
    </row>
    <row r="654">
      <c r="D654" s="5" t="n"/>
      <c r="H654" s="6" t="n"/>
      <c r="J654" s="8" t="n"/>
      <c r="K654" s="6" t="n"/>
      <c r="L654" s="9" t="n"/>
      <c r="M654" s="5" t="n"/>
      <c r="N654" s="5" t="n"/>
      <c r="O654" s="5" t="n"/>
    </row>
    <row r="655">
      <c r="D655" s="5" t="n"/>
      <c r="H655" s="6" t="n"/>
      <c r="J655" s="8" t="n"/>
      <c r="K655" s="6" t="n"/>
      <c r="L655" s="9" t="n"/>
      <c r="M655" s="5" t="n"/>
      <c r="N655" s="5" t="n"/>
      <c r="O655" s="5" t="n"/>
    </row>
    <row r="656">
      <c r="D656" s="5" t="n"/>
      <c r="H656" s="6" t="n"/>
      <c r="J656" s="8" t="n"/>
      <c r="K656" s="6" t="n"/>
      <c r="L656" s="9" t="n"/>
      <c r="M656" s="5" t="n"/>
      <c r="N656" s="5" t="n"/>
      <c r="O656" s="5" t="n"/>
    </row>
    <row r="657">
      <c r="D657" s="5" t="n"/>
      <c r="H657" s="6" t="n"/>
      <c r="J657" s="8" t="n"/>
      <c r="K657" s="6" t="n"/>
      <c r="L657" s="9" t="n"/>
      <c r="M657" s="5" t="n"/>
      <c r="N657" s="5" t="n"/>
      <c r="O657" s="5" t="n"/>
    </row>
    <row r="658">
      <c r="D658" s="5" t="n"/>
      <c r="H658" s="6" t="n"/>
      <c r="J658" s="8" t="n"/>
      <c r="K658" s="6" t="n"/>
      <c r="L658" s="9" t="n"/>
      <c r="M658" s="5" t="n"/>
      <c r="N658" s="5" t="n"/>
      <c r="O658" s="5" t="n"/>
    </row>
    <row r="659">
      <c r="D659" s="5" t="n"/>
      <c r="H659" s="6" t="n"/>
      <c r="J659" s="8" t="n"/>
      <c r="K659" s="6" t="n"/>
      <c r="L659" s="9" t="n"/>
      <c r="M659" s="5" t="n"/>
      <c r="N659" s="5" t="n"/>
      <c r="O659" s="5" t="n"/>
    </row>
    <row r="660">
      <c r="D660" s="5" t="n"/>
      <c r="H660" s="6" t="n"/>
      <c r="J660" s="8" t="n"/>
      <c r="K660" s="6" t="n"/>
      <c r="L660" s="9" t="n"/>
      <c r="M660" s="5" t="n"/>
      <c r="N660" s="5" t="n"/>
      <c r="O660" s="5" t="n"/>
    </row>
    <row r="661">
      <c r="D661" s="5" t="n"/>
      <c r="H661" s="6" t="n"/>
      <c r="J661" s="8" t="n"/>
      <c r="K661" s="6" t="n"/>
      <c r="L661" s="9" t="n"/>
      <c r="M661" s="5" t="n"/>
      <c r="N661" s="5" t="n"/>
      <c r="O661" s="5" t="n"/>
    </row>
    <row r="662">
      <c r="D662" s="5" t="n"/>
      <c r="H662" s="6" t="n"/>
      <c r="J662" s="8" t="n"/>
      <c r="K662" s="6" t="n"/>
      <c r="L662" s="9" t="n"/>
      <c r="M662" s="5" t="n"/>
      <c r="N662" s="5" t="n"/>
      <c r="O662" s="5" t="n"/>
    </row>
    <row r="663">
      <c r="D663" s="5" t="n"/>
      <c r="H663" s="6" t="n"/>
      <c r="J663" s="8" t="n"/>
      <c r="K663" s="6" t="n"/>
      <c r="L663" s="9" t="n"/>
      <c r="M663" s="5" t="n"/>
      <c r="N663" s="5" t="n"/>
      <c r="O663" s="5" t="n"/>
    </row>
    <row r="664">
      <c r="D664" s="5" t="n"/>
      <c r="H664" s="6" t="n"/>
      <c r="J664" s="8" t="n"/>
      <c r="K664" s="6" t="n"/>
      <c r="L664" s="9" t="n"/>
      <c r="M664" s="5" t="n"/>
      <c r="N664" s="5" t="n"/>
      <c r="O664" s="5" t="n"/>
    </row>
    <row r="665">
      <c r="D665" s="5" t="n"/>
      <c r="H665" s="6" t="n"/>
      <c r="J665" s="8" t="n"/>
      <c r="K665" s="6" t="n"/>
      <c r="L665" s="9" t="n"/>
      <c r="M665" s="5" t="n"/>
      <c r="N665" s="5" t="n"/>
      <c r="O665" s="5" t="n"/>
    </row>
    <row r="666">
      <c r="D666" s="5" t="n"/>
      <c r="H666" s="6" t="n"/>
      <c r="J666" s="8" t="n"/>
      <c r="K666" s="6" t="n"/>
      <c r="L666" s="9" t="n"/>
      <c r="M666" s="5" t="n"/>
      <c r="N666" s="5" t="n"/>
      <c r="O666" s="5" t="n"/>
    </row>
    <row r="667">
      <c r="D667" s="5" t="n"/>
      <c r="H667" s="6" t="n"/>
      <c r="J667" s="8" t="n"/>
      <c r="K667" s="6" t="n"/>
      <c r="L667" s="9" t="n"/>
      <c r="M667" s="5" t="n"/>
      <c r="N667" s="5" t="n"/>
      <c r="O667" s="5" t="n"/>
    </row>
    <row r="668">
      <c r="D668" s="5" t="n"/>
      <c r="H668" s="6" t="n"/>
      <c r="J668" s="8" t="n"/>
      <c r="K668" s="6" t="n"/>
      <c r="L668" s="9" t="n"/>
      <c r="M668" s="5" t="n"/>
      <c r="N668" s="5" t="n"/>
      <c r="O668" s="5" t="n"/>
    </row>
    <row r="669">
      <c r="D669" s="5" t="n"/>
      <c r="H669" s="6" t="n"/>
      <c r="J669" s="8" t="n"/>
      <c r="K669" s="6" t="n"/>
      <c r="L669" s="9" t="n"/>
      <c r="M669" s="5" t="n"/>
      <c r="N669" s="5" t="n"/>
      <c r="O669" s="5" t="n"/>
    </row>
    <row r="670">
      <c r="D670" s="5" t="n"/>
      <c r="H670" s="6" t="n"/>
      <c r="J670" s="8" t="n"/>
      <c r="K670" s="6" t="n"/>
      <c r="L670" s="9" t="n"/>
      <c r="M670" s="5" t="n"/>
      <c r="N670" s="5" t="n"/>
      <c r="O670" s="5" t="n"/>
    </row>
    <row r="671">
      <c r="D671" s="5" t="n"/>
      <c r="H671" s="6" t="n"/>
      <c r="J671" s="8" t="n"/>
      <c r="K671" s="6" t="n"/>
      <c r="L671" s="9" t="n"/>
      <c r="M671" s="5" t="n"/>
      <c r="N671" s="5" t="n"/>
      <c r="O671" s="5" t="n"/>
    </row>
    <row r="672">
      <c r="D672" s="5" t="n"/>
      <c r="H672" s="6" t="n"/>
      <c r="J672" s="8" t="n"/>
      <c r="K672" s="6" t="n"/>
      <c r="L672" s="9" t="n"/>
      <c r="M672" s="5" t="n"/>
      <c r="N672" s="5" t="n"/>
      <c r="O672" s="5" t="n"/>
    </row>
    <row r="673">
      <c r="D673" s="5" t="n"/>
      <c r="H673" s="6" t="n"/>
      <c r="J673" s="8" t="n"/>
      <c r="K673" s="6" t="n"/>
      <c r="L673" s="9" t="n"/>
      <c r="M673" s="5" t="n"/>
      <c r="N673" s="5" t="n"/>
      <c r="O673" s="5" t="n"/>
    </row>
    <row r="674">
      <c r="D674" s="5" t="n"/>
      <c r="H674" s="6" t="n"/>
      <c r="J674" s="8" t="n"/>
      <c r="K674" s="6" t="n"/>
      <c r="L674" s="9" t="n"/>
      <c r="M674" s="5" t="n"/>
      <c r="N674" s="5" t="n"/>
      <c r="O674" s="5" t="n"/>
    </row>
    <row r="675">
      <c r="D675" s="5" t="n"/>
      <c r="H675" s="6" t="n"/>
      <c r="J675" s="8" t="n"/>
      <c r="K675" s="6" t="n"/>
      <c r="L675" s="9" t="n"/>
      <c r="M675" s="5" t="n"/>
      <c r="N675" s="5" t="n"/>
      <c r="O675" s="5" t="n"/>
    </row>
    <row r="676">
      <c r="D676" s="5" t="n"/>
      <c r="H676" s="6" t="n"/>
      <c r="J676" s="8" t="n"/>
      <c r="K676" s="6" t="n"/>
      <c r="L676" s="9" t="n"/>
      <c r="M676" s="5" t="n"/>
      <c r="N676" s="5" t="n"/>
      <c r="O676" s="5" t="n"/>
    </row>
    <row r="677">
      <c r="D677" s="5" t="n"/>
      <c r="H677" s="6" t="n"/>
      <c r="J677" s="8" t="n"/>
      <c r="K677" s="6" t="n"/>
      <c r="L677" s="9" t="n"/>
      <c r="M677" s="5" t="n"/>
      <c r="N677" s="5" t="n"/>
      <c r="O677" s="5" t="n"/>
    </row>
    <row r="678">
      <c r="D678" s="5" t="n"/>
      <c r="H678" s="6" t="n"/>
      <c r="J678" s="8" t="n"/>
      <c r="K678" s="6" t="n"/>
      <c r="L678" s="9" t="n"/>
      <c r="M678" s="5" t="n"/>
      <c r="N678" s="5" t="n"/>
      <c r="O678" s="5" t="n"/>
    </row>
    <row r="679">
      <c r="D679" s="5" t="n"/>
      <c r="H679" s="6" t="n"/>
      <c r="J679" s="8" t="n"/>
      <c r="K679" s="6" t="n"/>
      <c r="L679" s="9" t="n"/>
      <c r="M679" s="5" t="n"/>
      <c r="N679" s="5" t="n"/>
      <c r="O679" s="5" t="n"/>
    </row>
    <row r="680">
      <c r="D680" s="5" t="n"/>
      <c r="H680" s="6" t="n"/>
      <c r="J680" s="8" t="n"/>
      <c r="K680" s="6" t="n"/>
      <c r="L680" s="9" t="n"/>
      <c r="M680" s="5" t="n"/>
      <c r="N680" s="5" t="n"/>
      <c r="O680" s="5" t="n"/>
    </row>
    <row r="681">
      <c r="D681" s="5" t="n"/>
      <c r="H681" s="6" t="n"/>
      <c r="J681" s="8" t="n"/>
      <c r="K681" s="6" t="n"/>
      <c r="L681" s="9" t="n"/>
      <c r="M681" s="5" t="n"/>
      <c r="N681" s="5" t="n"/>
      <c r="O681" s="5" t="n"/>
    </row>
    <row r="682">
      <c r="D682" s="5" t="n"/>
      <c r="H682" s="6" t="n"/>
      <c r="J682" s="8" t="n"/>
      <c r="K682" s="6" t="n"/>
      <c r="L682" s="9" t="n"/>
      <c r="M682" s="5" t="n"/>
      <c r="N682" s="5" t="n"/>
      <c r="O682" s="5" t="n"/>
    </row>
    <row r="683">
      <c r="D683" s="5" t="n"/>
      <c r="H683" s="6" t="n"/>
      <c r="J683" s="8" t="n"/>
      <c r="K683" s="6" t="n"/>
      <c r="L683" s="9" t="n"/>
      <c r="M683" s="5" t="n"/>
      <c r="N683" s="5" t="n"/>
      <c r="O683" s="5" t="n"/>
    </row>
    <row r="684">
      <c r="D684" s="5" t="n"/>
      <c r="H684" s="6" t="n"/>
      <c r="J684" s="8" t="n"/>
      <c r="K684" s="6" t="n"/>
      <c r="L684" s="9" t="n"/>
      <c r="M684" s="5" t="n"/>
      <c r="N684" s="5" t="n"/>
      <c r="O684" s="5" t="n"/>
    </row>
    <row r="685">
      <c r="D685" s="5" t="n"/>
      <c r="H685" s="6" t="n"/>
      <c r="J685" s="8" t="n"/>
      <c r="K685" s="6" t="n"/>
      <c r="L685" s="9" t="n"/>
      <c r="M685" s="5" t="n"/>
      <c r="N685" s="5" t="n"/>
      <c r="O685" s="5" t="n"/>
    </row>
    <row r="686">
      <c r="D686" s="5" t="n"/>
      <c r="H686" s="6" t="n"/>
      <c r="J686" s="8" t="n"/>
      <c r="K686" s="6" t="n"/>
      <c r="L686" s="9" t="n"/>
      <c r="M686" s="5" t="n"/>
      <c r="N686" s="5" t="n"/>
      <c r="O686" s="5" t="n"/>
    </row>
    <row r="687">
      <c r="D687" s="5" t="n"/>
      <c r="H687" s="6" t="n"/>
      <c r="J687" s="8" t="n"/>
      <c r="K687" s="6" t="n"/>
      <c r="L687" s="9" t="n"/>
      <c r="M687" s="5" t="n"/>
      <c r="N687" s="5" t="n"/>
      <c r="O687" s="5" t="n"/>
    </row>
    <row r="688">
      <c r="D688" s="5" t="n"/>
      <c r="H688" s="6" t="n"/>
      <c r="J688" s="8" t="n"/>
      <c r="K688" s="6" t="n"/>
      <c r="L688" s="9" t="n"/>
      <c r="M688" s="5" t="n"/>
      <c r="N688" s="5" t="n"/>
      <c r="O688" s="5" t="n"/>
    </row>
    <row r="689">
      <c r="D689" s="5" t="n"/>
      <c r="H689" s="6" t="n"/>
      <c r="J689" s="8" t="n"/>
      <c r="K689" s="6" t="n"/>
      <c r="L689" s="9" t="n"/>
      <c r="M689" s="5" t="n"/>
      <c r="N689" s="5" t="n"/>
      <c r="O689" s="5" t="n"/>
    </row>
    <row r="690">
      <c r="D690" s="5" t="n"/>
      <c r="H690" s="6" t="n"/>
      <c r="J690" s="8" t="n"/>
      <c r="K690" s="6" t="n"/>
      <c r="L690" s="9" t="n"/>
      <c r="M690" s="5" t="n"/>
      <c r="N690" s="5" t="n"/>
      <c r="O690" s="5" t="n"/>
    </row>
    <row r="691">
      <c r="D691" s="5" t="n"/>
      <c r="H691" s="6" t="n"/>
      <c r="J691" s="8" t="n"/>
      <c r="K691" s="6" t="n"/>
      <c r="L691" s="9" t="n"/>
      <c r="M691" s="5" t="n"/>
      <c r="N691" s="5" t="n"/>
      <c r="O691" s="5" t="n"/>
    </row>
    <row r="692">
      <c r="D692" s="5" t="n"/>
      <c r="H692" s="6" t="n"/>
      <c r="J692" s="8" t="n"/>
      <c r="K692" s="6" t="n"/>
      <c r="L692" s="9" t="n"/>
      <c r="M692" s="5" t="n"/>
      <c r="N692" s="5" t="n"/>
      <c r="O692" s="5" t="n"/>
    </row>
    <row r="693">
      <c r="D693" s="5" t="n"/>
      <c r="H693" s="6" t="n"/>
      <c r="J693" s="8" t="n"/>
      <c r="K693" s="6" t="n"/>
      <c r="L693" s="9" t="n"/>
      <c r="M693" s="5" t="n"/>
      <c r="N693" s="5" t="n"/>
      <c r="O693" s="5" t="n"/>
    </row>
    <row r="694">
      <c r="D694" s="5" t="n"/>
      <c r="H694" s="6" t="n"/>
      <c r="J694" s="8" t="n"/>
      <c r="K694" s="6" t="n"/>
      <c r="L694" s="9" t="n"/>
      <c r="M694" s="5" t="n"/>
      <c r="N694" s="5" t="n"/>
      <c r="O694" s="5" t="n"/>
    </row>
    <row r="695">
      <c r="D695" s="5" t="n"/>
      <c r="H695" s="6" t="n"/>
      <c r="J695" s="8" t="n"/>
      <c r="K695" s="6" t="n"/>
      <c r="L695" s="9" t="n"/>
      <c r="M695" s="5" t="n"/>
      <c r="N695" s="5" t="n"/>
      <c r="O695" s="5" t="n"/>
    </row>
    <row r="696">
      <c r="D696" s="5" t="n"/>
      <c r="H696" s="6" t="n"/>
      <c r="J696" s="8" t="n"/>
      <c r="K696" s="6" t="n"/>
      <c r="L696" s="9" t="n"/>
      <c r="M696" s="5" t="n"/>
      <c r="N696" s="5" t="n"/>
      <c r="O696" s="5" t="n"/>
    </row>
    <row r="697">
      <c r="D697" s="5" t="n"/>
      <c r="H697" s="6" t="n"/>
      <c r="J697" s="8" t="n"/>
      <c r="K697" s="6" t="n"/>
      <c r="L697" s="9" t="n"/>
      <c r="M697" s="5" t="n"/>
      <c r="N697" s="5" t="n"/>
      <c r="O697" s="5" t="n"/>
    </row>
    <row r="698">
      <c r="D698" s="5" t="n"/>
      <c r="H698" s="6" t="n"/>
      <c r="J698" s="8" t="n"/>
      <c r="K698" s="6" t="n"/>
      <c r="L698" s="9" t="n"/>
      <c r="M698" s="5" t="n"/>
      <c r="N698" s="5" t="n"/>
      <c r="O698" s="5" t="n"/>
    </row>
    <row r="699">
      <c r="D699" s="5" t="n"/>
      <c r="H699" s="6" t="n"/>
      <c r="J699" s="8" t="n"/>
      <c r="K699" s="6" t="n"/>
      <c r="L699" s="9" t="n"/>
      <c r="M699" s="5" t="n"/>
      <c r="N699" s="5" t="n"/>
      <c r="O699" s="5" t="n"/>
    </row>
    <row r="700">
      <c r="D700" s="5" t="n"/>
      <c r="H700" s="6" t="n"/>
      <c r="J700" s="8" t="n"/>
      <c r="K700" s="6" t="n"/>
      <c r="L700" s="9" t="n"/>
      <c r="M700" s="5" t="n"/>
      <c r="N700" s="5" t="n"/>
      <c r="O700" s="5" t="n"/>
    </row>
    <row r="701">
      <c r="D701" s="5" t="n"/>
      <c r="H701" s="6" t="n"/>
      <c r="J701" s="8" t="n"/>
      <c r="K701" s="6" t="n"/>
      <c r="L701" s="9" t="n"/>
      <c r="M701" s="5" t="n"/>
      <c r="N701" s="5" t="n"/>
      <c r="O701" s="5" t="n"/>
    </row>
    <row r="702">
      <c r="D702" s="5" t="n"/>
      <c r="H702" s="6" t="n"/>
      <c r="J702" s="8" t="n"/>
      <c r="K702" s="6" t="n"/>
      <c r="L702" s="9" t="n"/>
      <c r="M702" s="5" t="n"/>
      <c r="N702" s="5" t="n"/>
      <c r="O702" s="5" t="n"/>
    </row>
    <row r="703">
      <c r="D703" s="5" t="n"/>
      <c r="H703" s="6" t="n"/>
      <c r="J703" s="8" t="n"/>
      <c r="K703" s="6" t="n"/>
      <c r="L703" s="9" t="n"/>
      <c r="M703" s="5" t="n"/>
      <c r="N703" s="5" t="n"/>
      <c r="O703" s="5" t="n"/>
    </row>
    <row r="704">
      <c r="D704" s="5" t="n"/>
      <c r="H704" s="6" t="n"/>
      <c r="J704" s="8" t="n"/>
      <c r="K704" s="6" t="n"/>
      <c r="L704" s="9" t="n"/>
      <c r="M704" s="5" t="n"/>
      <c r="N704" s="5" t="n"/>
      <c r="O704" s="5" t="n"/>
    </row>
    <row r="705">
      <c r="D705" s="5" t="n"/>
      <c r="H705" s="6" t="n"/>
      <c r="J705" s="8" t="n"/>
      <c r="K705" s="6" t="n"/>
      <c r="L705" s="9" t="n"/>
      <c r="M705" s="5" t="n"/>
      <c r="N705" s="5" t="n"/>
      <c r="O705" s="5" t="n"/>
    </row>
    <row r="706">
      <c r="D706" s="5" t="n"/>
      <c r="H706" s="6" t="n"/>
      <c r="J706" s="8" t="n"/>
      <c r="K706" s="6" t="n"/>
      <c r="L706" s="9" t="n"/>
      <c r="M706" s="5" t="n"/>
      <c r="N706" s="5" t="n"/>
      <c r="O706" s="5" t="n"/>
    </row>
    <row r="707">
      <c r="D707" s="5" t="n"/>
      <c r="H707" s="6" t="n"/>
      <c r="J707" s="8" t="n"/>
      <c r="K707" s="6" t="n"/>
      <c r="L707" s="9" t="n"/>
      <c r="M707" s="5" t="n"/>
      <c r="N707" s="5" t="n"/>
      <c r="O707" s="5" t="n"/>
    </row>
    <row r="708">
      <c r="D708" s="5" t="n"/>
      <c r="H708" s="6" t="n"/>
      <c r="J708" s="8" t="n"/>
      <c r="K708" s="6" t="n"/>
      <c r="L708" s="9" t="n"/>
      <c r="M708" s="5" t="n"/>
      <c r="N708" s="5" t="n"/>
      <c r="O708" s="5" t="n"/>
    </row>
    <row r="709">
      <c r="D709" s="5" t="n"/>
      <c r="H709" s="6" t="n"/>
      <c r="J709" s="8" t="n"/>
      <c r="K709" s="6" t="n"/>
      <c r="L709" s="9" t="n"/>
      <c r="M709" s="5" t="n"/>
      <c r="N709" s="5" t="n"/>
      <c r="O709" s="5" t="n"/>
    </row>
    <row r="710">
      <c r="D710" s="5" t="n"/>
      <c r="H710" s="6" t="n"/>
      <c r="J710" s="8" t="n"/>
      <c r="K710" s="6" t="n"/>
      <c r="L710" s="9" t="n"/>
      <c r="M710" s="5" t="n"/>
      <c r="N710" s="5" t="n"/>
      <c r="O710" s="5" t="n"/>
    </row>
    <row r="711">
      <c r="D711" s="5" t="n"/>
      <c r="H711" s="6" t="n"/>
      <c r="J711" s="8" t="n"/>
      <c r="K711" s="6" t="n"/>
      <c r="L711" s="9" t="n"/>
      <c r="M711" s="5" t="n"/>
      <c r="N711" s="5" t="n"/>
      <c r="O711" s="5" t="n"/>
    </row>
    <row r="712">
      <c r="D712" s="5" t="n"/>
      <c r="H712" s="6" t="n"/>
      <c r="J712" s="8" t="n"/>
      <c r="K712" s="6" t="n"/>
      <c r="L712" s="9" t="n"/>
      <c r="M712" s="5" t="n"/>
      <c r="N712" s="5" t="n"/>
      <c r="O712" s="5" t="n"/>
    </row>
    <row r="713">
      <c r="D713" s="5" t="n"/>
      <c r="H713" s="6" t="n"/>
      <c r="J713" s="8" t="n"/>
      <c r="K713" s="6" t="n"/>
      <c r="L713" s="9" t="n"/>
      <c r="M713" s="5" t="n"/>
      <c r="N713" s="5" t="n"/>
      <c r="O713" s="5" t="n"/>
    </row>
    <row r="714">
      <c r="D714" s="5" t="n"/>
      <c r="H714" s="6" t="n"/>
      <c r="J714" s="8" t="n"/>
      <c r="K714" s="6" t="n"/>
      <c r="L714" s="9" t="n"/>
      <c r="M714" s="5" t="n"/>
      <c r="N714" s="5" t="n"/>
      <c r="O714" s="5" t="n"/>
    </row>
    <row r="715">
      <c r="D715" s="5" t="n"/>
      <c r="H715" s="6" t="n"/>
      <c r="J715" s="8" t="n"/>
      <c r="K715" s="6" t="n"/>
      <c r="L715" s="9" t="n"/>
      <c r="M715" s="5" t="n"/>
      <c r="N715" s="5" t="n"/>
      <c r="O715" s="5" t="n"/>
    </row>
    <row r="716">
      <c r="D716" s="5" t="n"/>
      <c r="H716" s="6" t="n"/>
      <c r="J716" s="8" t="n"/>
      <c r="K716" s="6" t="n"/>
      <c r="L716" s="9" t="n"/>
      <c r="M716" s="5" t="n"/>
      <c r="N716" s="5" t="n"/>
      <c r="O716" s="5" t="n"/>
    </row>
    <row r="717">
      <c r="D717" s="5" t="n"/>
      <c r="H717" s="6" t="n"/>
      <c r="J717" s="8" t="n"/>
      <c r="K717" s="6" t="n"/>
      <c r="L717" s="9" t="n"/>
      <c r="M717" s="5" t="n"/>
      <c r="N717" s="5" t="n"/>
      <c r="O717" s="5" t="n"/>
    </row>
    <row r="718">
      <c r="D718" s="5" t="n"/>
      <c r="H718" s="6" t="n"/>
      <c r="J718" s="8" t="n"/>
      <c r="K718" s="6" t="n"/>
      <c r="L718" s="9" t="n"/>
      <c r="M718" s="5" t="n"/>
      <c r="N718" s="5" t="n"/>
      <c r="O718" s="5" t="n"/>
    </row>
    <row r="719">
      <c r="D719" s="5" t="n"/>
      <c r="H719" s="6" t="n"/>
      <c r="J719" s="8" t="n"/>
      <c r="K719" s="6" t="n"/>
      <c r="L719" s="9" t="n"/>
      <c r="M719" s="5" t="n"/>
      <c r="N719" s="5" t="n"/>
      <c r="O719" s="5" t="n"/>
    </row>
    <row r="720">
      <c r="D720" s="5" t="n"/>
      <c r="H720" s="6" t="n"/>
      <c r="J720" s="8" t="n"/>
      <c r="K720" s="6" t="n"/>
      <c r="L720" s="9" t="n"/>
      <c r="M720" s="5" t="n"/>
      <c r="N720" s="5" t="n"/>
      <c r="O720" s="5" t="n"/>
    </row>
    <row r="721">
      <c r="D721" s="5" t="n"/>
      <c r="H721" s="6" t="n"/>
      <c r="J721" s="8" t="n"/>
      <c r="K721" s="6" t="n"/>
      <c r="L721" s="9" t="n"/>
      <c r="M721" s="5" t="n"/>
      <c r="N721" s="5" t="n"/>
      <c r="O721" s="5" t="n"/>
    </row>
    <row r="722">
      <c r="D722" s="5" t="n"/>
      <c r="H722" s="6" t="n"/>
      <c r="J722" s="8" t="n"/>
      <c r="K722" s="6" t="n"/>
      <c r="L722" s="9" t="n"/>
      <c r="M722" s="5" t="n"/>
      <c r="N722" s="5" t="n"/>
      <c r="O722" s="5" t="n"/>
    </row>
    <row r="723">
      <c r="D723" s="5" t="n"/>
      <c r="H723" s="6" t="n"/>
      <c r="J723" s="8" t="n"/>
      <c r="K723" s="6" t="n"/>
      <c r="L723" s="9" t="n"/>
      <c r="M723" s="5" t="n"/>
      <c r="N723" s="5" t="n"/>
      <c r="O723" s="5" t="n"/>
    </row>
    <row r="724">
      <c r="D724" s="5" t="n"/>
      <c r="H724" s="6" t="n"/>
      <c r="J724" s="8" t="n"/>
      <c r="K724" s="6" t="n"/>
      <c r="L724" s="9" t="n"/>
      <c r="M724" s="5" t="n"/>
      <c r="N724" s="5" t="n"/>
      <c r="O724" s="5" t="n"/>
    </row>
    <row r="725">
      <c r="D725" s="5" t="n"/>
      <c r="H725" s="6" t="n"/>
      <c r="J725" s="8" t="n"/>
      <c r="K725" s="6" t="n"/>
      <c r="L725" s="9" t="n"/>
      <c r="M725" s="5" t="n"/>
      <c r="N725" s="5" t="n"/>
      <c r="O725" s="5" t="n"/>
    </row>
    <row r="726">
      <c r="D726" s="5" t="n"/>
      <c r="H726" s="6" t="n"/>
      <c r="J726" s="8" t="n"/>
      <c r="K726" s="6" t="n"/>
      <c r="L726" s="9" t="n"/>
      <c r="M726" s="5" t="n"/>
      <c r="N726" s="5" t="n"/>
      <c r="O726" s="5" t="n"/>
    </row>
    <row r="727">
      <c r="D727" s="5" t="n"/>
      <c r="H727" s="6" t="n"/>
      <c r="J727" s="8" t="n"/>
      <c r="K727" s="6" t="n"/>
      <c r="L727" s="9" t="n"/>
      <c r="M727" s="5" t="n"/>
      <c r="N727" s="5" t="n"/>
      <c r="O727" s="5" t="n"/>
    </row>
    <row r="728">
      <c r="D728" s="5" t="n"/>
      <c r="H728" s="6" t="n"/>
      <c r="J728" s="8" t="n"/>
      <c r="K728" s="6" t="n"/>
      <c r="L728" s="9" t="n"/>
      <c r="M728" s="5" t="n"/>
      <c r="N728" s="5" t="n"/>
      <c r="O728" s="5" t="n"/>
    </row>
    <row r="729">
      <c r="D729" s="5" t="n"/>
      <c r="H729" s="6" t="n"/>
      <c r="J729" s="8" t="n"/>
      <c r="K729" s="6" t="n"/>
      <c r="L729" s="9" t="n"/>
      <c r="M729" s="5" t="n"/>
      <c r="N729" s="5" t="n"/>
      <c r="O729" s="5" t="n"/>
    </row>
    <row r="730">
      <c r="D730" s="5" t="n"/>
      <c r="H730" s="6" t="n"/>
      <c r="J730" s="8" t="n"/>
      <c r="K730" s="6" t="n"/>
      <c r="L730" s="9" t="n"/>
      <c r="M730" s="5" t="n"/>
      <c r="N730" s="5" t="n"/>
      <c r="O730" s="5" t="n"/>
    </row>
    <row r="731">
      <c r="D731" s="5" t="n"/>
      <c r="H731" s="6" t="n"/>
      <c r="J731" s="8" t="n"/>
      <c r="K731" s="6" t="n"/>
      <c r="L731" s="9" t="n"/>
      <c r="M731" s="5" t="n"/>
      <c r="N731" s="5" t="n"/>
      <c r="O731" s="5" t="n"/>
    </row>
    <row r="732">
      <c r="D732" s="5" t="n"/>
      <c r="H732" s="6" t="n"/>
      <c r="J732" s="8" t="n"/>
      <c r="K732" s="6" t="n"/>
      <c r="L732" s="9" t="n"/>
      <c r="M732" s="5" t="n"/>
      <c r="N732" s="5" t="n"/>
      <c r="O732" s="5" t="n"/>
    </row>
    <row r="733">
      <c r="D733" s="5" t="n"/>
      <c r="H733" s="6" t="n"/>
      <c r="J733" s="8" t="n"/>
      <c r="K733" s="6" t="n"/>
      <c r="L733" s="9" t="n"/>
      <c r="M733" s="5" t="n"/>
      <c r="N733" s="5" t="n"/>
      <c r="O733" s="5" t="n"/>
    </row>
    <row r="734">
      <c r="D734" s="5" t="n"/>
      <c r="H734" s="6" t="n"/>
      <c r="J734" s="8" t="n"/>
      <c r="K734" s="6" t="n"/>
      <c r="L734" s="9" t="n"/>
      <c r="M734" s="5" t="n"/>
      <c r="N734" s="5" t="n"/>
      <c r="O734" s="5" t="n"/>
    </row>
    <row r="735">
      <c r="D735" s="5" t="n"/>
      <c r="H735" s="6" t="n"/>
      <c r="J735" s="8" t="n"/>
      <c r="K735" s="6" t="n"/>
      <c r="L735" s="9" t="n"/>
      <c r="M735" s="5" t="n"/>
      <c r="N735" s="5" t="n"/>
      <c r="O735" s="5" t="n"/>
    </row>
    <row r="736">
      <c r="D736" s="5" t="n"/>
      <c r="H736" s="6" t="n"/>
      <c r="J736" s="8" t="n"/>
      <c r="K736" s="6" t="n"/>
      <c r="L736" s="9" t="n"/>
      <c r="M736" s="5" t="n"/>
      <c r="N736" s="5" t="n"/>
      <c r="O736" s="5" t="n"/>
    </row>
    <row r="737">
      <c r="D737" s="5" t="n"/>
      <c r="H737" s="6" t="n"/>
      <c r="J737" s="8" t="n"/>
      <c r="K737" s="6" t="n"/>
      <c r="L737" s="9" t="n"/>
      <c r="M737" s="5" t="n"/>
      <c r="N737" s="5" t="n"/>
      <c r="O737" s="5" t="n"/>
    </row>
    <row r="738">
      <c r="D738" s="5" t="n"/>
      <c r="H738" s="6" t="n"/>
      <c r="J738" s="8" t="n"/>
      <c r="K738" s="6" t="n"/>
      <c r="L738" s="9" t="n"/>
      <c r="M738" s="5" t="n"/>
      <c r="N738" s="5" t="n"/>
      <c r="O738" s="5" t="n"/>
    </row>
    <row r="739">
      <c r="D739" s="5" t="n"/>
      <c r="H739" s="6" t="n"/>
      <c r="J739" s="8" t="n"/>
      <c r="K739" s="6" t="n"/>
      <c r="L739" s="9" t="n"/>
      <c r="M739" s="5" t="n"/>
      <c r="N739" s="5" t="n"/>
      <c r="O739" s="5" t="n"/>
    </row>
    <row r="740">
      <c r="D740" s="5" t="n"/>
      <c r="H740" s="6" t="n"/>
      <c r="J740" s="8" t="n"/>
      <c r="K740" s="6" t="n"/>
      <c r="L740" s="9" t="n"/>
      <c r="M740" s="5" t="n"/>
      <c r="N740" s="5" t="n"/>
      <c r="O740" s="5" t="n"/>
    </row>
    <row r="741">
      <c r="D741" s="5" t="n"/>
      <c r="H741" s="6" t="n"/>
      <c r="J741" s="8" t="n"/>
      <c r="K741" s="6" t="n"/>
      <c r="L741" s="9" t="n"/>
      <c r="M741" s="5" t="n"/>
      <c r="N741" s="5" t="n"/>
      <c r="O741" s="5" t="n"/>
    </row>
    <row r="742">
      <c r="D742" s="5" t="n"/>
      <c r="H742" s="6" t="n"/>
      <c r="J742" s="8" t="n"/>
      <c r="K742" s="6" t="n"/>
      <c r="L742" s="9" t="n"/>
      <c r="M742" s="5" t="n"/>
      <c r="N742" s="5" t="n"/>
      <c r="O742" s="5" t="n"/>
    </row>
    <row r="743">
      <c r="D743" s="5" t="n"/>
      <c r="H743" s="6" t="n"/>
      <c r="J743" s="8" t="n"/>
      <c r="K743" s="6" t="n"/>
      <c r="L743" s="9" t="n"/>
      <c r="M743" s="5" t="n"/>
      <c r="N743" s="5" t="n"/>
      <c r="O743" s="5" t="n"/>
    </row>
    <row r="744">
      <c r="D744" s="5" t="n"/>
      <c r="H744" s="6" t="n"/>
      <c r="J744" s="8" t="n"/>
      <c r="K744" s="6" t="n"/>
      <c r="L744" s="9" t="n"/>
      <c r="M744" s="5" t="n"/>
      <c r="N744" s="5" t="n"/>
      <c r="O744" s="5" t="n"/>
    </row>
    <row r="745">
      <c r="D745" s="5" t="n"/>
      <c r="H745" s="6" t="n"/>
      <c r="J745" s="8" t="n"/>
      <c r="K745" s="6" t="n"/>
      <c r="L745" s="9" t="n"/>
      <c r="M745" s="5" t="n"/>
      <c r="N745" s="5" t="n"/>
      <c r="O745" s="5" t="n"/>
    </row>
    <row r="746">
      <c r="D746" s="5" t="n"/>
      <c r="H746" s="6" t="n"/>
      <c r="J746" s="8" t="n"/>
      <c r="K746" s="6" t="n"/>
      <c r="L746" s="9" t="n"/>
      <c r="M746" s="5" t="n"/>
      <c r="N746" s="5" t="n"/>
      <c r="O746" s="5" t="n"/>
    </row>
    <row r="747">
      <c r="D747" s="5" t="n"/>
      <c r="H747" s="6" t="n"/>
      <c r="J747" s="8" t="n"/>
      <c r="K747" s="6" t="n"/>
      <c r="L747" s="9" t="n"/>
      <c r="M747" s="5" t="n"/>
      <c r="N747" s="5" t="n"/>
      <c r="O747" s="5" t="n"/>
    </row>
    <row r="748">
      <c r="D748" s="5" t="n"/>
      <c r="H748" s="6" t="n"/>
      <c r="J748" s="8" t="n"/>
      <c r="K748" s="6" t="n"/>
      <c r="L748" s="9" t="n"/>
      <c r="M748" s="5" t="n"/>
      <c r="N748" s="5" t="n"/>
      <c r="O748" s="5" t="n"/>
    </row>
    <row r="749">
      <c r="D749" s="5" t="n"/>
      <c r="H749" s="6" t="n"/>
      <c r="J749" s="8" t="n"/>
      <c r="K749" s="6" t="n"/>
      <c r="L749" s="9" t="n"/>
      <c r="M749" s="5" t="n"/>
      <c r="N749" s="5" t="n"/>
      <c r="O749" s="5" t="n"/>
    </row>
    <row r="750">
      <c r="D750" s="5" t="n"/>
      <c r="H750" s="6" t="n"/>
      <c r="J750" s="8" t="n"/>
      <c r="K750" s="6" t="n"/>
      <c r="L750" s="9" t="n"/>
      <c r="M750" s="5" t="n"/>
      <c r="N750" s="5" t="n"/>
      <c r="O750" s="5" t="n"/>
    </row>
    <row r="751">
      <c r="D751" s="5" t="n"/>
      <c r="H751" s="6" t="n"/>
      <c r="J751" s="8" t="n"/>
      <c r="K751" s="6" t="n"/>
      <c r="L751" s="9" t="n"/>
      <c r="M751" s="5" t="n"/>
      <c r="N751" s="5" t="n"/>
      <c r="O751" s="5" t="n"/>
    </row>
    <row r="752">
      <c r="D752" s="5" t="n"/>
      <c r="H752" s="6" t="n"/>
      <c r="J752" s="8" t="n"/>
      <c r="K752" s="6" t="n"/>
      <c r="L752" s="9" t="n"/>
      <c r="M752" s="5" t="n"/>
      <c r="N752" s="5" t="n"/>
      <c r="O752" s="5" t="n"/>
    </row>
    <row r="753">
      <c r="D753" s="5" t="n"/>
      <c r="H753" s="6" t="n"/>
      <c r="J753" s="8" t="n"/>
      <c r="K753" s="6" t="n"/>
      <c r="L753" s="9" t="n"/>
      <c r="M753" s="5" t="n"/>
      <c r="N753" s="5" t="n"/>
      <c r="O753" s="5" t="n"/>
    </row>
    <row r="754">
      <c r="D754" s="5" t="n"/>
      <c r="H754" s="6" t="n"/>
      <c r="J754" s="8" t="n"/>
      <c r="K754" s="6" t="n"/>
      <c r="L754" s="9" t="n"/>
      <c r="M754" s="5" t="n"/>
      <c r="N754" s="5" t="n"/>
      <c r="O754" s="5" t="n"/>
    </row>
    <row r="755">
      <c r="D755" s="5" t="n"/>
      <c r="H755" s="6" t="n"/>
      <c r="J755" s="8" t="n"/>
      <c r="K755" s="6" t="n"/>
      <c r="L755" s="9" t="n"/>
      <c r="M755" s="5" t="n"/>
      <c r="N755" s="5" t="n"/>
      <c r="O755" s="5" t="n"/>
    </row>
    <row r="756">
      <c r="D756" s="5" t="n"/>
      <c r="H756" s="6" t="n"/>
      <c r="J756" s="8" t="n"/>
      <c r="K756" s="6" t="n"/>
      <c r="L756" s="9" t="n"/>
      <c r="M756" s="5" t="n"/>
      <c r="N756" s="5" t="n"/>
      <c r="O756" s="5" t="n"/>
    </row>
    <row r="757">
      <c r="D757" s="5" t="n"/>
      <c r="H757" s="6" t="n"/>
      <c r="J757" s="8" t="n"/>
      <c r="K757" s="6" t="n"/>
      <c r="L757" s="9" t="n"/>
      <c r="M757" s="5" t="n"/>
      <c r="N757" s="5" t="n"/>
      <c r="O757" s="5" t="n"/>
    </row>
    <row r="758">
      <c r="D758" s="5" t="n"/>
      <c r="H758" s="6" t="n"/>
      <c r="J758" s="8" t="n"/>
      <c r="K758" s="6" t="n"/>
      <c r="L758" s="9" t="n"/>
      <c r="M758" s="5" t="n"/>
      <c r="N758" s="5" t="n"/>
      <c r="O758" s="5" t="n"/>
    </row>
    <row r="759">
      <c r="D759" s="5" t="n"/>
      <c r="H759" s="6" t="n"/>
      <c r="J759" s="8" t="n"/>
      <c r="K759" s="6" t="n"/>
      <c r="L759" s="9" t="n"/>
      <c r="M759" s="5" t="n"/>
      <c r="N759" s="5" t="n"/>
      <c r="O759" s="5" t="n"/>
    </row>
    <row r="760">
      <c r="D760" s="5" t="n"/>
      <c r="H760" s="6" t="n"/>
      <c r="J760" s="8" t="n"/>
      <c r="K760" s="6" t="n"/>
      <c r="L760" s="9" t="n"/>
      <c r="M760" s="5" t="n"/>
      <c r="N760" s="5" t="n"/>
      <c r="O760" s="5" t="n"/>
    </row>
    <row r="761">
      <c r="D761" s="5" t="n"/>
      <c r="H761" s="6" t="n"/>
      <c r="J761" s="8" t="n"/>
      <c r="K761" s="6" t="n"/>
      <c r="L761" s="9" t="n"/>
      <c r="M761" s="5" t="n"/>
      <c r="N761" s="5" t="n"/>
      <c r="O761" s="5" t="n"/>
    </row>
    <row r="762">
      <c r="D762" s="5" t="n"/>
      <c r="H762" s="6" t="n"/>
      <c r="J762" s="8" t="n"/>
      <c r="K762" s="6" t="n"/>
      <c r="L762" s="9" t="n"/>
      <c r="M762" s="5" t="n"/>
      <c r="N762" s="5" t="n"/>
      <c r="O762" s="5" t="n"/>
    </row>
    <row r="763">
      <c r="D763" s="5" t="n"/>
      <c r="H763" s="6" t="n"/>
      <c r="J763" s="8" t="n"/>
      <c r="K763" s="6" t="n"/>
      <c r="L763" s="9" t="n"/>
      <c r="M763" s="5" t="n"/>
      <c r="N763" s="5" t="n"/>
      <c r="O763" s="5" t="n"/>
    </row>
    <row r="764">
      <c r="D764" s="5" t="n"/>
      <c r="H764" s="6" t="n"/>
      <c r="J764" s="8" t="n"/>
      <c r="K764" s="6" t="n"/>
      <c r="L764" s="9" t="n"/>
      <c r="M764" s="5" t="n"/>
      <c r="N764" s="5" t="n"/>
      <c r="O764" s="5" t="n"/>
    </row>
    <row r="765">
      <c r="D765" s="5" t="n"/>
      <c r="H765" s="6" t="n"/>
      <c r="J765" s="8" t="n"/>
      <c r="K765" s="6" t="n"/>
      <c r="L765" s="9" t="n"/>
      <c r="M765" s="5" t="n"/>
      <c r="N765" s="5" t="n"/>
      <c r="O765" s="5" t="n"/>
    </row>
    <row r="766">
      <c r="D766" s="5" t="n"/>
      <c r="H766" s="6" t="n"/>
      <c r="J766" s="8" t="n"/>
      <c r="K766" s="6" t="n"/>
      <c r="L766" s="9" t="n"/>
      <c r="M766" s="5" t="n"/>
      <c r="N766" s="5" t="n"/>
      <c r="O766" s="5" t="n"/>
    </row>
    <row r="767">
      <c r="D767" s="5" t="n"/>
      <c r="H767" s="6" t="n"/>
      <c r="J767" s="8" t="n"/>
      <c r="K767" s="6" t="n"/>
      <c r="L767" s="9" t="n"/>
      <c r="M767" s="5" t="n"/>
      <c r="N767" s="5" t="n"/>
      <c r="O767" s="5" t="n"/>
    </row>
    <row r="768">
      <c r="D768" s="5" t="n"/>
      <c r="H768" s="6" t="n"/>
      <c r="J768" s="8" t="n"/>
      <c r="K768" s="6" t="n"/>
      <c r="L768" s="9" t="n"/>
      <c r="M768" s="5" t="n"/>
      <c r="N768" s="5" t="n"/>
      <c r="O768" s="5" t="n"/>
    </row>
    <row r="769">
      <c r="D769" s="5" t="n"/>
      <c r="H769" s="6" t="n"/>
      <c r="J769" s="8" t="n"/>
      <c r="K769" s="6" t="n"/>
      <c r="L769" s="9" t="n"/>
      <c r="M769" s="5" t="n"/>
      <c r="N769" s="5" t="n"/>
      <c r="O769" s="5" t="n"/>
    </row>
    <row r="770">
      <c r="D770" s="5" t="n"/>
      <c r="H770" s="6" t="n"/>
      <c r="J770" s="8" t="n"/>
      <c r="K770" s="6" t="n"/>
      <c r="L770" s="9" t="n"/>
      <c r="M770" s="5" t="n"/>
      <c r="N770" s="5" t="n"/>
      <c r="O770" s="5" t="n"/>
    </row>
    <row r="771">
      <c r="D771" s="5" t="n"/>
      <c r="H771" s="6" t="n"/>
      <c r="J771" s="8" t="n"/>
      <c r="K771" s="6" t="n"/>
      <c r="L771" s="9" t="n"/>
      <c r="M771" s="5" t="n"/>
      <c r="N771" s="5" t="n"/>
      <c r="O771" s="5" t="n"/>
    </row>
    <row r="772">
      <c r="D772" s="5" t="n"/>
      <c r="H772" s="6" t="n"/>
      <c r="J772" s="8" t="n"/>
      <c r="K772" s="6" t="n"/>
      <c r="L772" s="9" t="n"/>
      <c r="M772" s="5" t="n"/>
      <c r="N772" s="5" t="n"/>
      <c r="O772" s="5" t="n"/>
    </row>
    <row r="773">
      <c r="D773" s="5" t="n"/>
      <c r="H773" s="6" t="n"/>
      <c r="J773" s="8" t="n"/>
      <c r="K773" s="6" t="n"/>
      <c r="L773" s="9" t="n"/>
      <c r="M773" s="5" t="n"/>
      <c r="N773" s="5" t="n"/>
      <c r="O773" s="5" t="n"/>
    </row>
    <row r="774">
      <c r="D774" s="5" t="n"/>
      <c r="H774" s="6" t="n"/>
      <c r="J774" s="8" t="n"/>
      <c r="K774" s="6" t="n"/>
      <c r="L774" s="9" t="n"/>
      <c r="M774" s="5" t="n"/>
      <c r="N774" s="5" t="n"/>
      <c r="O774" s="5" t="n"/>
    </row>
    <row r="775">
      <c r="D775" s="5" t="n"/>
      <c r="H775" s="6" t="n"/>
      <c r="J775" s="8" t="n"/>
      <c r="K775" s="6" t="n"/>
      <c r="L775" s="9" t="n"/>
      <c r="M775" s="5" t="n"/>
      <c r="N775" s="5" t="n"/>
      <c r="O775" s="5" t="n"/>
    </row>
    <row r="776">
      <c r="D776" s="5" t="n"/>
      <c r="H776" s="6" t="n"/>
      <c r="J776" s="8" t="n"/>
      <c r="K776" s="6" t="n"/>
      <c r="L776" s="9" t="n"/>
      <c r="M776" s="5" t="n"/>
      <c r="N776" s="5" t="n"/>
      <c r="O776" s="5" t="n"/>
    </row>
    <row r="777">
      <c r="D777" s="5" t="n"/>
      <c r="H777" s="6" t="n"/>
      <c r="J777" s="8" t="n"/>
      <c r="K777" s="6" t="n"/>
      <c r="L777" s="9" t="n"/>
      <c r="M777" s="5" t="n"/>
      <c r="N777" s="5" t="n"/>
      <c r="O777" s="5" t="n"/>
    </row>
    <row r="778">
      <c r="D778" s="5" t="n"/>
      <c r="H778" s="6" t="n"/>
      <c r="J778" s="8" t="n"/>
      <c r="K778" s="6" t="n"/>
      <c r="L778" s="9" t="n"/>
      <c r="M778" s="5" t="n"/>
      <c r="N778" s="5" t="n"/>
      <c r="O778" s="5" t="n"/>
    </row>
    <row r="779">
      <c r="D779" s="5" t="n"/>
      <c r="H779" s="6" t="n"/>
      <c r="J779" s="8" t="n"/>
      <c r="K779" s="6" t="n"/>
      <c r="L779" s="9" t="n"/>
      <c r="M779" s="5" t="n"/>
      <c r="N779" s="5" t="n"/>
      <c r="O779" s="5" t="n"/>
    </row>
    <row r="780">
      <c r="D780" s="5" t="n"/>
      <c r="H780" s="6" t="n"/>
      <c r="J780" s="8" t="n"/>
      <c r="K780" s="6" t="n"/>
      <c r="L780" s="9" t="n"/>
      <c r="M780" s="5" t="n"/>
      <c r="N780" s="5" t="n"/>
      <c r="O780" s="5" t="n"/>
    </row>
    <row r="781">
      <c r="D781" s="5" t="n"/>
      <c r="H781" s="6" t="n"/>
      <c r="J781" s="8" t="n"/>
      <c r="K781" s="6" t="n"/>
      <c r="L781" s="9" t="n"/>
      <c r="M781" s="5" t="n"/>
      <c r="N781" s="5" t="n"/>
      <c r="O781" s="5" t="n"/>
    </row>
    <row r="782">
      <c r="D782" s="5" t="n"/>
      <c r="H782" s="6" t="n"/>
      <c r="J782" s="8" t="n"/>
      <c r="K782" s="6" t="n"/>
      <c r="L782" s="9" t="n"/>
      <c r="M782" s="5" t="n"/>
      <c r="N782" s="5" t="n"/>
      <c r="O782" s="5" t="n"/>
    </row>
    <row r="783">
      <c r="D783" s="5" t="n"/>
      <c r="H783" s="6" t="n"/>
      <c r="J783" s="8" t="n"/>
      <c r="K783" s="6" t="n"/>
      <c r="L783" s="9" t="n"/>
      <c r="M783" s="5" t="n"/>
      <c r="N783" s="5" t="n"/>
      <c r="O783" s="5" t="n"/>
    </row>
    <row r="784">
      <c r="D784" s="5" t="n"/>
      <c r="H784" s="6" t="n"/>
      <c r="J784" s="8" t="n"/>
      <c r="K784" s="6" t="n"/>
      <c r="L784" s="9" t="n"/>
      <c r="M784" s="5" t="n"/>
      <c r="N784" s="5" t="n"/>
      <c r="O784" s="5" t="n"/>
    </row>
    <row r="785">
      <c r="D785" s="5" t="n"/>
      <c r="H785" s="6" t="n"/>
      <c r="J785" s="8" t="n"/>
      <c r="K785" s="6" t="n"/>
      <c r="L785" s="9" t="n"/>
      <c r="M785" s="5" t="n"/>
      <c r="N785" s="5" t="n"/>
      <c r="O785" s="5" t="n"/>
    </row>
    <row r="786">
      <c r="D786" s="5" t="n"/>
      <c r="H786" s="6" t="n"/>
      <c r="J786" s="8" t="n"/>
      <c r="K786" s="6" t="n"/>
      <c r="L786" s="9" t="n"/>
      <c r="M786" s="5" t="n"/>
      <c r="N786" s="5" t="n"/>
      <c r="O786" s="5" t="n"/>
    </row>
    <row r="787">
      <c r="D787" s="5" t="n"/>
      <c r="H787" s="6" t="n"/>
      <c r="J787" s="8" t="n"/>
      <c r="K787" s="6" t="n"/>
      <c r="L787" s="9" t="n"/>
      <c r="M787" s="5" t="n"/>
      <c r="N787" s="5" t="n"/>
      <c r="O787" s="5" t="n"/>
    </row>
    <row r="788">
      <c r="D788" s="5" t="n"/>
      <c r="H788" s="6" t="n"/>
      <c r="J788" s="8" t="n"/>
      <c r="K788" s="6" t="n"/>
      <c r="L788" s="9" t="n"/>
      <c r="M788" s="5" t="n"/>
      <c r="N788" s="5" t="n"/>
      <c r="O788" s="5" t="n"/>
    </row>
    <row r="789">
      <c r="D789" s="5" t="n"/>
      <c r="H789" s="6" t="n"/>
      <c r="J789" s="8" t="n"/>
      <c r="K789" s="6" t="n"/>
      <c r="L789" s="9" t="n"/>
      <c r="M789" s="5" t="n"/>
      <c r="N789" s="5" t="n"/>
      <c r="O789" s="5" t="n"/>
    </row>
    <row r="790">
      <c r="D790" s="5" t="n"/>
      <c r="H790" s="6" t="n"/>
      <c r="J790" s="8" t="n"/>
      <c r="K790" s="6" t="n"/>
      <c r="L790" s="9" t="n"/>
      <c r="M790" s="5" t="n"/>
      <c r="N790" s="5" t="n"/>
      <c r="O790" s="5" t="n"/>
    </row>
    <row r="791">
      <c r="D791" s="5" t="n"/>
      <c r="H791" s="6" t="n"/>
      <c r="J791" s="8" t="n"/>
      <c r="K791" s="6" t="n"/>
      <c r="L791" s="9" t="n"/>
      <c r="M791" s="5" t="n"/>
      <c r="N791" s="5" t="n"/>
      <c r="O791" s="5" t="n"/>
    </row>
    <row r="792">
      <c r="D792" s="5" t="n"/>
      <c r="H792" s="6" t="n"/>
      <c r="J792" s="8" t="n"/>
      <c r="K792" s="6" t="n"/>
      <c r="L792" s="9" t="n"/>
      <c r="M792" s="5" t="n"/>
      <c r="N792" s="5" t="n"/>
      <c r="O792" s="5" t="n"/>
    </row>
    <row r="793">
      <c r="D793" s="5" t="n"/>
      <c r="H793" s="6" t="n"/>
      <c r="J793" s="8" t="n"/>
      <c r="K793" s="6" t="n"/>
      <c r="L793" s="9" t="n"/>
      <c r="M793" s="5" t="n"/>
      <c r="N793" s="5" t="n"/>
      <c r="O793" s="5" t="n"/>
    </row>
    <row r="794">
      <c r="D794" s="5" t="n"/>
      <c r="H794" s="6" t="n"/>
      <c r="J794" s="8" t="n"/>
      <c r="K794" s="6" t="n"/>
      <c r="L794" s="9" t="n"/>
      <c r="M794" s="5" t="n"/>
      <c r="N794" s="5" t="n"/>
      <c r="O794" s="5" t="n"/>
    </row>
    <row r="795">
      <c r="D795" s="5" t="n"/>
      <c r="H795" s="6" t="n"/>
      <c r="J795" s="8" t="n"/>
      <c r="K795" s="6" t="n"/>
      <c r="L795" s="9" t="n"/>
      <c r="M795" s="5" t="n"/>
      <c r="N795" s="5" t="n"/>
      <c r="O795" s="5" t="n"/>
    </row>
    <row r="796">
      <c r="D796" s="5" t="n"/>
      <c r="H796" s="6" t="n"/>
      <c r="J796" s="8" t="n"/>
      <c r="K796" s="6" t="n"/>
      <c r="L796" s="9" t="n"/>
      <c r="M796" s="5" t="n"/>
      <c r="N796" s="5" t="n"/>
      <c r="O796" s="5" t="n"/>
    </row>
    <row r="797">
      <c r="D797" s="5" t="n"/>
      <c r="H797" s="6" t="n"/>
      <c r="J797" s="8" t="n"/>
      <c r="K797" s="6" t="n"/>
      <c r="L797" s="9" t="n"/>
      <c r="M797" s="5" t="n"/>
      <c r="N797" s="5" t="n"/>
      <c r="O797" s="5" t="n"/>
    </row>
    <row r="798">
      <c r="D798" s="5" t="n"/>
      <c r="H798" s="6" t="n"/>
      <c r="J798" s="8" t="n"/>
      <c r="K798" s="6" t="n"/>
      <c r="L798" s="9" t="n"/>
      <c r="M798" s="5" t="n"/>
      <c r="N798" s="5" t="n"/>
      <c r="O798" s="5" t="n"/>
    </row>
    <row r="799">
      <c r="D799" s="5" t="n"/>
      <c r="H799" s="6" t="n"/>
      <c r="J799" s="8" t="n"/>
      <c r="K799" s="6" t="n"/>
      <c r="L799" s="9" t="n"/>
      <c r="M799" s="5" t="n"/>
      <c r="N799" s="5" t="n"/>
      <c r="O799" s="5" t="n"/>
    </row>
    <row r="800">
      <c r="D800" s="5" t="n"/>
      <c r="H800" s="6" t="n"/>
      <c r="J800" s="8" t="n"/>
      <c r="K800" s="6" t="n"/>
      <c r="L800" s="9" t="n"/>
      <c r="M800" s="5" t="n"/>
      <c r="N800" s="5" t="n"/>
      <c r="O800" s="5" t="n"/>
    </row>
    <row r="801">
      <c r="D801" s="5" t="n"/>
      <c r="H801" s="6" t="n"/>
      <c r="J801" s="8" t="n"/>
      <c r="K801" s="6" t="n"/>
      <c r="L801" s="9" t="n"/>
      <c r="M801" s="5" t="n"/>
      <c r="N801" s="5" t="n"/>
      <c r="O801" s="5" t="n"/>
    </row>
    <row r="802">
      <c r="D802" s="5" t="n"/>
      <c r="H802" s="6" t="n"/>
      <c r="J802" s="8" t="n"/>
      <c r="K802" s="6" t="n"/>
      <c r="L802" s="9" t="n"/>
      <c r="M802" s="5" t="n"/>
      <c r="N802" s="5" t="n"/>
      <c r="O802" s="5" t="n"/>
    </row>
    <row r="803">
      <c r="D803" s="5" t="n"/>
      <c r="H803" s="6" t="n"/>
      <c r="J803" s="8" t="n"/>
      <c r="K803" s="6" t="n"/>
      <c r="L803" s="9" t="n"/>
      <c r="M803" s="5" t="n"/>
      <c r="N803" s="5" t="n"/>
      <c r="O803" s="5" t="n"/>
    </row>
    <row r="804">
      <c r="D804" s="5" t="n"/>
      <c r="H804" s="6" t="n"/>
      <c r="J804" s="8" t="n"/>
      <c r="K804" s="6" t="n"/>
      <c r="L804" s="9" t="n"/>
      <c r="M804" s="5" t="n"/>
      <c r="N804" s="5" t="n"/>
      <c r="O804" s="5" t="n"/>
    </row>
    <row r="805">
      <c r="D805" s="5" t="n"/>
      <c r="H805" s="6" t="n"/>
      <c r="J805" s="8" t="n"/>
      <c r="K805" s="6" t="n"/>
      <c r="L805" s="9" t="n"/>
      <c r="M805" s="5" t="n"/>
      <c r="N805" s="5" t="n"/>
      <c r="O805" s="5" t="n"/>
    </row>
    <row r="806">
      <c r="D806" s="5" t="n"/>
      <c r="H806" s="6" t="n"/>
      <c r="J806" s="8" t="n"/>
      <c r="K806" s="6" t="n"/>
      <c r="L806" s="9" t="n"/>
      <c r="M806" s="5" t="n"/>
      <c r="N806" s="5" t="n"/>
      <c r="O806" s="5" t="n"/>
    </row>
    <row r="807">
      <c r="D807" s="5" t="n"/>
      <c r="H807" s="6" t="n"/>
      <c r="J807" s="8" t="n"/>
      <c r="K807" s="6" t="n"/>
      <c r="L807" s="9" t="n"/>
      <c r="M807" s="5" t="n"/>
      <c r="N807" s="5" t="n"/>
      <c r="O807" s="5" t="n"/>
    </row>
    <row r="808">
      <c r="D808" s="5" t="n"/>
      <c r="H808" s="6" t="n"/>
      <c r="J808" s="8" t="n"/>
      <c r="K808" s="6" t="n"/>
      <c r="L808" s="9" t="n"/>
      <c r="M808" s="5" t="n"/>
      <c r="N808" s="5" t="n"/>
      <c r="O808" s="5" t="n"/>
    </row>
    <row r="809">
      <c r="D809" s="5" t="n"/>
      <c r="H809" s="6" t="n"/>
      <c r="J809" s="8" t="n"/>
      <c r="K809" s="6" t="n"/>
      <c r="L809" s="9" t="n"/>
      <c r="M809" s="5" t="n"/>
      <c r="N809" s="5" t="n"/>
      <c r="O809" s="5" t="n"/>
    </row>
    <row r="810">
      <c r="D810" s="5" t="n"/>
      <c r="H810" s="6" t="n"/>
      <c r="J810" s="8" t="n"/>
      <c r="K810" s="6" t="n"/>
      <c r="L810" s="9" t="n"/>
      <c r="M810" s="5" t="n"/>
      <c r="N810" s="5" t="n"/>
      <c r="O810" s="5" t="n"/>
    </row>
    <row r="811">
      <c r="D811" s="5" t="n"/>
      <c r="H811" s="6" t="n"/>
      <c r="J811" s="8" t="n"/>
      <c r="K811" s="6" t="n"/>
      <c r="L811" s="9" t="n"/>
      <c r="M811" s="5" t="n"/>
      <c r="N811" s="5" t="n"/>
      <c r="O811" s="5" t="n"/>
    </row>
    <row r="812">
      <c r="D812" s="5" t="n"/>
      <c r="H812" s="6" t="n"/>
      <c r="J812" s="8" t="n"/>
      <c r="K812" s="6" t="n"/>
      <c r="L812" s="9" t="n"/>
      <c r="M812" s="5" t="n"/>
      <c r="N812" s="5" t="n"/>
      <c r="O812" s="5" t="n"/>
    </row>
    <row r="813">
      <c r="D813" s="5" t="n"/>
      <c r="H813" s="6" t="n"/>
      <c r="J813" s="8" t="n"/>
      <c r="K813" s="6" t="n"/>
      <c r="L813" s="9" t="n"/>
      <c r="M813" s="5" t="n"/>
      <c r="N813" s="5" t="n"/>
      <c r="O813" s="5" t="n"/>
    </row>
    <row r="814">
      <c r="D814" s="5" t="n"/>
      <c r="H814" s="6" t="n"/>
      <c r="J814" s="8" t="n"/>
      <c r="K814" s="6" t="n"/>
      <c r="L814" s="9" t="n"/>
      <c r="M814" s="5" t="n"/>
      <c r="N814" s="5" t="n"/>
      <c r="O814" s="5" t="n"/>
    </row>
    <row r="815">
      <c r="D815" s="5" t="n"/>
      <c r="H815" s="6" t="n"/>
      <c r="J815" s="8" t="n"/>
      <c r="K815" s="6" t="n"/>
      <c r="L815" s="9" t="n"/>
      <c r="M815" s="5" t="n"/>
      <c r="N815" s="5" t="n"/>
      <c r="O815" s="5" t="n"/>
    </row>
    <row r="816">
      <c r="D816" s="5" t="n"/>
      <c r="H816" s="6" t="n"/>
      <c r="J816" s="8" t="n"/>
      <c r="K816" s="6" t="n"/>
      <c r="L816" s="9" t="n"/>
      <c r="M816" s="5" t="n"/>
      <c r="N816" s="5" t="n"/>
      <c r="O816" s="5" t="n"/>
    </row>
    <row r="817">
      <c r="D817" s="5" t="n"/>
      <c r="H817" s="6" t="n"/>
      <c r="J817" s="8" t="n"/>
      <c r="K817" s="6" t="n"/>
      <c r="L817" s="9" t="n"/>
      <c r="M817" s="5" t="n"/>
      <c r="N817" s="5" t="n"/>
      <c r="O817" s="5" t="n"/>
    </row>
    <row r="818">
      <c r="D818" s="5" t="n"/>
      <c r="H818" s="6" t="n"/>
      <c r="J818" s="8" t="n"/>
      <c r="K818" s="6" t="n"/>
      <c r="L818" s="9" t="n"/>
      <c r="M818" s="5" t="n"/>
      <c r="N818" s="5" t="n"/>
      <c r="O818" s="5" t="n"/>
    </row>
    <row r="819">
      <c r="D819" s="5" t="n"/>
      <c r="H819" s="6" t="n"/>
      <c r="J819" s="8" t="n"/>
      <c r="K819" s="6" t="n"/>
      <c r="L819" s="9" t="n"/>
      <c r="M819" s="5" t="n"/>
      <c r="N819" s="5" t="n"/>
      <c r="O819" s="5" t="n"/>
    </row>
    <row r="820">
      <c r="D820" s="5" t="n"/>
      <c r="H820" s="6" t="n"/>
      <c r="J820" s="8" t="n"/>
      <c r="K820" s="6" t="n"/>
      <c r="L820" s="9" t="n"/>
      <c r="M820" s="5" t="n"/>
      <c r="N820" s="5" t="n"/>
      <c r="O820" s="5" t="n"/>
    </row>
    <row r="821">
      <c r="D821" s="5" t="n"/>
      <c r="H821" s="6" t="n"/>
      <c r="J821" s="8" t="n"/>
      <c r="K821" s="6" t="n"/>
      <c r="L821" s="9" t="n"/>
      <c r="M821" s="5" t="n"/>
      <c r="N821" s="5" t="n"/>
      <c r="O821" s="5" t="n"/>
    </row>
    <row r="822">
      <c r="D822" s="5" t="n"/>
      <c r="H822" s="6" t="n"/>
      <c r="J822" s="8" t="n"/>
      <c r="K822" s="6" t="n"/>
      <c r="L822" s="9" t="n"/>
      <c r="M822" s="5" t="n"/>
      <c r="N822" s="5" t="n"/>
      <c r="O822" s="5" t="n"/>
    </row>
    <row r="823">
      <c r="D823" s="5" t="n"/>
      <c r="H823" s="6" t="n"/>
      <c r="J823" s="8" t="n"/>
      <c r="K823" s="6" t="n"/>
      <c r="L823" s="9" t="n"/>
      <c r="M823" s="5" t="n"/>
      <c r="N823" s="5" t="n"/>
      <c r="O823" s="5" t="n"/>
    </row>
    <row r="824">
      <c r="D824" s="5" t="n"/>
      <c r="H824" s="6" t="n"/>
      <c r="J824" s="8" t="n"/>
      <c r="K824" s="6" t="n"/>
      <c r="L824" s="9" t="n"/>
      <c r="M824" s="5" t="n"/>
      <c r="N824" s="5" t="n"/>
      <c r="O824" s="5" t="n"/>
    </row>
    <row r="825">
      <c r="D825" s="5" t="n"/>
      <c r="H825" s="6" t="n"/>
      <c r="J825" s="8" t="n"/>
      <c r="K825" s="6" t="n"/>
      <c r="L825" s="9" t="n"/>
      <c r="M825" s="5" t="n"/>
      <c r="N825" s="5" t="n"/>
      <c r="O825" s="5" t="n"/>
    </row>
    <row r="826">
      <c r="D826" s="5" t="n"/>
      <c r="H826" s="6" t="n"/>
      <c r="J826" s="8" t="n"/>
      <c r="K826" s="6" t="n"/>
      <c r="L826" s="9" t="n"/>
      <c r="M826" s="5" t="n"/>
      <c r="N826" s="5" t="n"/>
      <c r="O826" s="5" t="n"/>
    </row>
    <row r="827">
      <c r="D827" s="5" t="n"/>
      <c r="H827" s="6" t="n"/>
      <c r="J827" s="8" t="n"/>
      <c r="K827" s="6" t="n"/>
      <c r="L827" s="9" t="n"/>
      <c r="M827" s="5" t="n"/>
      <c r="N827" s="5" t="n"/>
      <c r="O827" s="5" t="n"/>
    </row>
    <row r="828">
      <c r="D828" s="5" t="n"/>
      <c r="H828" s="6" t="n"/>
      <c r="J828" s="8" t="n"/>
      <c r="K828" s="6" t="n"/>
      <c r="L828" s="9" t="n"/>
      <c r="M828" s="5" t="n"/>
      <c r="N828" s="5" t="n"/>
      <c r="O828" s="5" t="n"/>
    </row>
    <row r="829">
      <c r="D829" s="5" t="n"/>
      <c r="H829" s="6" t="n"/>
      <c r="J829" s="8" t="n"/>
      <c r="K829" s="6" t="n"/>
      <c r="L829" s="9" t="n"/>
      <c r="M829" s="5" t="n"/>
      <c r="N829" s="5" t="n"/>
      <c r="O829" s="5" t="n"/>
    </row>
    <row r="830">
      <c r="D830" s="5" t="n"/>
      <c r="H830" s="6" t="n"/>
      <c r="J830" s="8" t="n"/>
      <c r="K830" s="6" t="n"/>
      <c r="L830" s="9" t="n"/>
      <c r="M830" s="5" t="n"/>
      <c r="N830" s="5" t="n"/>
      <c r="O830" s="5" t="n"/>
    </row>
    <row r="831">
      <c r="D831" s="5" t="n"/>
      <c r="H831" s="6" t="n"/>
      <c r="J831" s="8" t="n"/>
      <c r="K831" s="6" t="n"/>
      <c r="L831" s="9" t="n"/>
      <c r="M831" s="5" t="n"/>
      <c r="N831" s="5" t="n"/>
      <c r="O831" s="5" t="n"/>
    </row>
    <row r="832">
      <c r="D832" s="5" t="n"/>
      <c r="H832" s="6" t="n"/>
      <c r="J832" s="8" t="n"/>
      <c r="K832" s="6" t="n"/>
      <c r="L832" s="9" t="n"/>
      <c r="M832" s="5" t="n"/>
      <c r="N832" s="5" t="n"/>
      <c r="O832" s="5" t="n"/>
    </row>
    <row r="833">
      <c r="D833" s="5" t="n"/>
      <c r="H833" s="6" t="n"/>
      <c r="J833" s="8" t="n"/>
      <c r="K833" s="6" t="n"/>
      <c r="L833" s="9" t="n"/>
      <c r="M833" s="5" t="n"/>
      <c r="N833" s="5" t="n"/>
      <c r="O833" s="5" t="n"/>
    </row>
    <row r="834">
      <c r="D834" s="5" t="n"/>
      <c r="H834" s="6" t="n"/>
      <c r="J834" s="8" t="n"/>
      <c r="K834" s="6" t="n"/>
      <c r="L834" s="9" t="n"/>
      <c r="M834" s="5" t="n"/>
      <c r="N834" s="5" t="n"/>
      <c r="O834" s="5" t="n"/>
    </row>
    <row r="835">
      <c r="D835" s="5" t="n"/>
      <c r="H835" s="6" t="n"/>
      <c r="J835" s="8" t="n"/>
      <c r="K835" s="6" t="n"/>
      <c r="L835" s="9" t="n"/>
      <c r="M835" s="5" t="n"/>
      <c r="N835" s="5" t="n"/>
      <c r="O835" s="5" t="n"/>
    </row>
    <row r="836">
      <c r="D836" s="5" t="n"/>
      <c r="H836" s="6" t="n"/>
      <c r="J836" s="8" t="n"/>
      <c r="K836" s="6" t="n"/>
      <c r="L836" s="9" t="n"/>
      <c r="M836" s="5" t="n"/>
      <c r="N836" s="5" t="n"/>
      <c r="O836" s="5" t="n"/>
    </row>
    <row r="837">
      <c r="D837" s="5" t="n"/>
      <c r="H837" s="6" t="n"/>
      <c r="J837" s="8" t="n"/>
      <c r="K837" s="6" t="n"/>
      <c r="L837" s="9" t="n"/>
      <c r="M837" s="5" t="n"/>
      <c r="N837" s="5" t="n"/>
      <c r="O837" s="5" t="n"/>
    </row>
    <row r="838">
      <c r="D838" s="5" t="n"/>
      <c r="H838" s="6" t="n"/>
      <c r="J838" s="8" t="n"/>
      <c r="K838" s="6" t="n"/>
      <c r="L838" s="9" t="n"/>
      <c r="M838" s="5" t="n"/>
      <c r="N838" s="5" t="n"/>
      <c r="O838" s="5" t="n"/>
    </row>
    <row r="839">
      <c r="D839" s="5" t="n"/>
      <c r="H839" s="6" t="n"/>
      <c r="J839" s="8" t="n"/>
      <c r="K839" s="6" t="n"/>
      <c r="L839" s="9" t="n"/>
      <c r="M839" s="5" t="n"/>
      <c r="N839" s="5" t="n"/>
      <c r="O839" s="5" t="n"/>
    </row>
    <row r="840">
      <c r="D840" s="5" t="n"/>
      <c r="H840" s="6" t="n"/>
      <c r="J840" s="8" t="n"/>
      <c r="K840" s="6" t="n"/>
      <c r="L840" s="9" t="n"/>
      <c r="M840" s="5" t="n"/>
      <c r="N840" s="5" t="n"/>
      <c r="O840" s="5" t="n"/>
    </row>
    <row r="841">
      <c r="D841" s="5" t="n"/>
      <c r="H841" s="6" t="n"/>
      <c r="J841" s="8" t="n"/>
      <c r="K841" s="6" t="n"/>
      <c r="L841" s="9" t="n"/>
      <c r="M841" s="5" t="n"/>
      <c r="N841" s="5" t="n"/>
      <c r="O841" s="5" t="n"/>
    </row>
    <row r="842">
      <c r="D842" s="5" t="n"/>
      <c r="H842" s="6" t="n"/>
      <c r="J842" s="8" t="n"/>
      <c r="K842" s="6" t="n"/>
      <c r="L842" s="9" t="n"/>
      <c r="M842" s="5" t="n"/>
      <c r="N842" s="5" t="n"/>
      <c r="O842" s="5" t="n"/>
    </row>
    <row r="843">
      <c r="D843" s="5" t="n"/>
      <c r="H843" s="6" t="n"/>
      <c r="J843" s="8" t="n"/>
      <c r="K843" s="6" t="n"/>
      <c r="L843" s="9" t="n"/>
      <c r="M843" s="5" t="n"/>
      <c r="N843" s="5" t="n"/>
      <c r="O843" s="5" t="n"/>
    </row>
    <row r="844">
      <c r="D844" s="5" t="n"/>
      <c r="H844" s="6" t="n"/>
      <c r="J844" s="8" t="n"/>
      <c r="K844" s="6" t="n"/>
      <c r="L844" s="9" t="n"/>
      <c r="M844" s="5" t="n"/>
      <c r="N844" s="5" t="n"/>
      <c r="O844" s="5" t="n"/>
    </row>
    <row r="845">
      <c r="D845" s="5" t="n"/>
      <c r="H845" s="6" t="n"/>
      <c r="J845" s="8" t="n"/>
      <c r="K845" s="6" t="n"/>
      <c r="L845" s="9" t="n"/>
      <c r="M845" s="5" t="n"/>
      <c r="N845" s="5" t="n"/>
      <c r="O845" s="5" t="n"/>
    </row>
    <row r="846">
      <c r="D846" s="5" t="n"/>
      <c r="H846" s="6" t="n"/>
      <c r="J846" s="8" t="n"/>
      <c r="K846" s="6" t="n"/>
      <c r="L846" s="9" t="n"/>
      <c r="M846" s="5" t="n"/>
      <c r="N846" s="5" t="n"/>
      <c r="O846" s="5" t="n"/>
    </row>
    <row r="847">
      <c r="D847" s="5" t="n"/>
      <c r="H847" s="6" t="n"/>
      <c r="J847" s="8" t="n"/>
      <c r="K847" s="6" t="n"/>
      <c r="L847" s="9" t="n"/>
      <c r="M847" s="5" t="n"/>
      <c r="N847" s="5" t="n"/>
      <c r="O847" s="5" t="n"/>
    </row>
    <row r="848">
      <c r="D848" s="5" t="n"/>
      <c r="H848" s="6" t="n"/>
      <c r="J848" s="8" t="n"/>
      <c r="K848" s="6" t="n"/>
      <c r="L848" s="9" t="n"/>
      <c r="M848" s="5" t="n"/>
      <c r="N848" s="5" t="n"/>
      <c r="O848" s="5" t="n"/>
    </row>
    <row r="849">
      <c r="D849" s="5" t="n"/>
      <c r="H849" s="6" t="n"/>
      <c r="J849" s="8" t="n"/>
      <c r="K849" s="6" t="n"/>
      <c r="L849" s="9" t="n"/>
      <c r="M849" s="5" t="n"/>
      <c r="N849" s="5" t="n"/>
      <c r="O849" s="5" t="n"/>
    </row>
    <row r="850">
      <c r="D850" s="5" t="n"/>
      <c r="H850" s="6" t="n"/>
      <c r="J850" s="8" t="n"/>
      <c r="K850" s="6" t="n"/>
      <c r="L850" s="9" t="n"/>
      <c r="M850" s="5" t="n"/>
      <c r="N850" s="5" t="n"/>
      <c r="O850" s="5" t="n"/>
    </row>
    <row r="851">
      <c r="D851" s="5" t="n"/>
      <c r="H851" s="6" t="n"/>
      <c r="J851" s="8" t="n"/>
      <c r="K851" s="6" t="n"/>
      <c r="L851" s="9" t="n"/>
      <c r="M851" s="5" t="n"/>
      <c r="N851" s="5" t="n"/>
      <c r="O851" s="5" t="n"/>
    </row>
    <row r="852">
      <c r="D852" s="5" t="n"/>
      <c r="H852" s="6" t="n"/>
      <c r="J852" s="8" t="n"/>
      <c r="K852" s="6" t="n"/>
      <c r="L852" s="9" t="n"/>
      <c r="M852" s="5" t="n"/>
      <c r="N852" s="5" t="n"/>
      <c r="O852" s="5" t="n"/>
    </row>
    <row r="853">
      <c r="D853" s="5" t="n"/>
      <c r="H853" s="6" t="n"/>
      <c r="J853" s="8" t="n"/>
      <c r="K853" s="6" t="n"/>
      <c r="L853" s="9" t="n"/>
      <c r="M853" s="5" t="n"/>
      <c r="N853" s="5" t="n"/>
      <c r="O853" s="5" t="n"/>
    </row>
    <row r="854">
      <c r="D854" s="5" t="n"/>
      <c r="H854" s="6" t="n"/>
      <c r="J854" s="8" t="n"/>
      <c r="K854" s="6" t="n"/>
      <c r="L854" s="9" t="n"/>
      <c r="M854" s="5" t="n"/>
      <c r="N854" s="5" t="n"/>
      <c r="O854" s="5" t="n"/>
    </row>
    <row r="855">
      <c r="D855" s="5" t="n"/>
      <c r="H855" s="6" t="n"/>
      <c r="J855" s="8" t="n"/>
      <c r="K855" s="6" t="n"/>
      <c r="L855" s="9" t="n"/>
      <c r="M855" s="5" t="n"/>
      <c r="N855" s="5" t="n"/>
      <c r="O855" s="5" t="n"/>
    </row>
    <row r="856">
      <c r="D856" s="5" t="n"/>
      <c r="H856" s="6" t="n"/>
      <c r="J856" s="8" t="n"/>
      <c r="K856" s="6" t="n"/>
      <c r="L856" s="9" t="n"/>
      <c r="M856" s="5" t="n"/>
      <c r="N856" s="5" t="n"/>
      <c r="O856" s="5" t="n"/>
    </row>
    <row r="857">
      <c r="D857" s="5" t="n"/>
      <c r="H857" s="6" t="n"/>
      <c r="J857" s="8" t="n"/>
      <c r="K857" s="6" t="n"/>
      <c r="L857" s="9" t="n"/>
      <c r="M857" s="5" t="n"/>
      <c r="N857" s="5" t="n"/>
      <c r="O857" s="5" t="n"/>
    </row>
    <row r="858">
      <c r="D858" s="5" t="n"/>
      <c r="H858" s="6" t="n"/>
      <c r="J858" s="8" t="n"/>
      <c r="K858" s="6" t="n"/>
      <c r="L858" s="9" t="n"/>
      <c r="M858" s="5" t="n"/>
      <c r="N858" s="5" t="n"/>
      <c r="O858" s="5" t="n"/>
    </row>
    <row r="859">
      <c r="D859" s="5" t="n"/>
      <c r="H859" s="6" t="n"/>
      <c r="J859" s="8" t="n"/>
      <c r="K859" s="6" t="n"/>
      <c r="L859" s="9" t="n"/>
      <c r="M859" s="5" t="n"/>
      <c r="N859" s="5" t="n"/>
      <c r="O859" s="5" t="n"/>
    </row>
    <row r="860">
      <c r="D860" s="5" t="n"/>
      <c r="H860" s="6" t="n"/>
      <c r="J860" s="8" t="n"/>
      <c r="K860" s="6" t="n"/>
      <c r="L860" s="9" t="n"/>
      <c r="M860" s="5" t="n"/>
      <c r="N860" s="5" t="n"/>
      <c r="O860" s="5" t="n"/>
    </row>
    <row r="861">
      <c r="D861" s="5" t="n"/>
      <c r="H861" s="6" t="n"/>
      <c r="J861" s="8" t="n"/>
      <c r="K861" s="6" t="n"/>
      <c r="L861" s="9" t="n"/>
      <c r="M861" s="5" t="n"/>
      <c r="N861" s="5" t="n"/>
      <c r="O861" s="5" t="n"/>
    </row>
    <row r="862">
      <c r="D862" s="5" t="n"/>
      <c r="H862" s="6" t="n"/>
      <c r="J862" s="8" t="n"/>
      <c r="K862" s="6" t="n"/>
      <c r="L862" s="9" t="n"/>
      <c r="M862" s="5" t="n"/>
      <c r="N862" s="5" t="n"/>
      <c r="O862" s="5" t="n"/>
    </row>
    <row r="863">
      <c r="D863" s="5" t="n"/>
      <c r="H863" s="6" t="n"/>
      <c r="J863" s="8" t="n"/>
      <c r="K863" s="6" t="n"/>
      <c r="L863" s="9" t="n"/>
      <c r="M863" s="5" t="n"/>
      <c r="N863" s="5" t="n"/>
      <c r="O863" s="5" t="n"/>
    </row>
    <row r="864">
      <c r="D864" s="5" t="n"/>
      <c r="H864" s="6" t="n"/>
      <c r="J864" s="8" t="n"/>
      <c r="K864" s="6" t="n"/>
      <c r="L864" s="9" t="n"/>
      <c r="M864" s="5" t="n"/>
      <c r="N864" s="5" t="n"/>
      <c r="O864" s="5" t="n"/>
    </row>
    <row r="865">
      <c r="D865" s="5" t="n"/>
      <c r="H865" s="6" t="n"/>
      <c r="J865" s="8" t="n"/>
      <c r="K865" s="6" t="n"/>
      <c r="L865" s="9" t="n"/>
      <c r="M865" s="5" t="n"/>
      <c r="N865" s="5" t="n"/>
      <c r="O865" s="5" t="n"/>
    </row>
    <row r="866">
      <c r="D866" s="5" t="n"/>
      <c r="H866" s="6" t="n"/>
      <c r="J866" s="8" t="n"/>
      <c r="K866" s="6" t="n"/>
      <c r="L866" s="9" t="n"/>
      <c r="M866" s="5" t="n"/>
      <c r="N866" s="5" t="n"/>
      <c r="O866" s="5" t="n"/>
    </row>
    <row r="867">
      <c r="D867" s="5" t="n"/>
      <c r="H867" s="6" t="n"/>
      <c r="J867" s="8" t="n"/>
      <c r="K867" s="6" t="n"/>
      <c r="L867" s="9" t="n"/>
      <c r="M867" s="5" t="n"/>
      <c r="N867" s="5" t="n"/>
      <c r="O867" s="5" t="n"/>
    </row>
    <row r="868">
      <c r="D868" s="5" t="n"/>
      <c r="H868" s="6" t="n"/>
      <c r="J868" s="8" t="n"/>
      <c r="K868" s="6" t="n"/>
      <c r="L868" s="9" t="n"/>
      <c r="M868" s="5" t="n"/>
      <c r="N868" s="5" t="n"/>
      <c r="O868" s="5" t="n"/>
    </row>
    <row r="869">
      <c r="D869" s="5" t="n"/>
      <c r="H869" s="6" t="n"/>
      <c r="J869" s="8" t="n"/>
      <c r="K869" s="6" t="n"/>
      <c r="L869" s="9" t="n"/>
      <c r="M869" s="5" t="n"/>
      <c r="N869" s="5" t="n"/>
      <c r="O869" s="5" t="n"/>
    </row>
    <row r="870">
      <c r="D870" s="5" t="n"/>
      <c r="H870" s="6" t="n"/>
      <c r="J870" s="8" t="n"/>
      <c r="K870" s="6" t="n"/>
      <c r="L870" s="9" t="n"/>
      <c r="M870" s="5" t="n"/>
      <c r="N870" s="5" t="n"/>
      <c r="O870" s="5" t="n"/>
    </row>
    <row r="871">
      <c r="D871" s="5" t="n"/>
      <c r="H871" s="6" t="n"/>
      <c r="J871" s="8" t="n"/>
      <c r="K871" s="6" t="n"/>
      <c r="L871" s="9" t="n"/>
      <c r="M871" s="5" t="n"/>
      <c r="N871" s="5" t="n"/>
      <c r="O871" s="5" t="n"/>
    </row>
    <row r="872">
      <c r="D872" s="5" t="n"/>
      <c r="H872" s="6" t="n"/>
      <c r="J872" s="8" t="n"/>
      <c r="K872" s="6" t="n"/>
      <c r="L872" s="9" t="n"/>
      <c r="M872" s="5" t="n"/>
      <c r="N872" s="5" t="n"/>
      <c r="O872" s="5" t="n"/>
    </row>
    <row r="873">
      <c r="D873" s="5" t="n"/>
      <c r="H873" s="6" t="n"/>
      <c r="J873" s="8" t="n"/>
      <c r="K873" s="6" t="n"/>
      <c r="L873" s="9" t="n"/>
      <c r="M873" s="5" t="n"/>
      <c r="N873" s="5" t="n"/>
      <c r="O873" s="5" t="n"/>
    </row>
    <row r="874">
      <c r="D874" s="5" t="n"/>
      <c r="H874" s="6" t="n"/>
      <c r="J874" s="8" t="n"/>
      <c r="K874" s="6" t="n"/>
      <c r="L874" s="9" t="n"/>
      <c r="M874" s="5" t="n"/>
      <c r="N874" s="5" t="n"/>
      <c r="O874" s="5" t="n"/>
    </row>
    <row r="875">
      <c r="D875" s="5" t="n"/>
      <c r="H875" s="6" t="n"/>
      <c r="J875" s="8" t="n"/>
      <c r="K875" s="6" t="n"/>
      <c r="L875" s="9" t="n"/>
      <c r="M875" s="5" t="n"/>
      <c r="N875" s="5" t="n"/>
      <c r="O875" s="5" t="n"/>
    </row>
    <row r="876">
      <c r="D876" s="5" t="n"/>
      <c r="H876" s="6" t="n"/>
      <c r="J876" s="8" t="n"/>
      <c r="K876" s="6" t="n"/>
      <c r="L876" s="9" t="n"/>
      <c r="M876" s="5" t="n"/>
      <c r="N876" s="5" t="n"/>
      <c r="O876" s="5" t="n"/>
    </row>
    <row r="877">
      <c r="D877" s="5" t="n"/>
      <c r="H877" s="6" t="n"/>
      <c r="J877" s="8" t="n"/>
      <c r="K877" s="6" t="n"/>
      <c r="L877" s="9" t="n"/>
      <c r="M877" s="5" t="n"/>
      <c r="N877" s="5" t="n"/>
      <c r="O877" s="5" t="n"/>
    </row>
    <row r="878">
      <c r="D878" s="5" t="n"/>
      <c r="H878" s="6" t="n"/>
      <c r="J878" s="8" t="n"/>
      <c r="K878" s="6" t="n"/>
      <c r="L878" s="9" t="n"/>
      <c r="M878" s="5" t="n"/>
      <c r="N878" s="5" t="n"/>
      <c r="O878" s="5" t="n"/>
    </row>
    <row r="879">
      <c r="D879" s="5" t="n"/>
      <c r="H879" s="6" t="n"/>
      <c r="J879" s="8" t="n"/>
      <c r="K879" s="6" t="n"/>
      <c r="L879" s="9" t="n"/>
      <c r="M879" s="5" t="n"/>
      <c r="N879" s="5" t="n"/>
      <c r="O879" s="5" t="n"/>
    </row>
    <row r="880">
      <c r="D880" s="5" t="n"/>
      <c r="H880" s="6" t="n"/>
      <c r="J880" s="8" t="n"/>
      <c r="K880" s="6" t="n"/>
      <c r="L880" s="9" t="n"/>
      <c r="M880" s="5" t="n"/>
      <c r="N880" s="5" t="n"/>
      <c r="O880" s="5" t="n"/>
    </row>
    <row r="881">
      <c r="D881" s="5" t="n"/>
      <c r="H881" s="6" t="n"/>
      <c r="J881" s="8" t="n"/>
      <c r="K881" s="6" t="n"/>
      <c r="L881" s="9" t="n"/>
      <c r="M881" s="5" t="n"/>
      <c r="N881" s="5" t="n"/>
      <c r="O881" s="5" t="n"/>
    </row>
    <row r="882">
      <c r="D882" s="5" t="n"/>
      <c r="H882" s="6" t="n"/>
      <c r="J882" s="8" t="n"/>
      <c r="K882" s="6" t="n"/>
      <c r="L882" s="9" t="n"/>
      <c r="M882" s="5" t="n"/>
      <c r="N882" s="5" t="n"/>
      <c r="O882" s="5" t="n"/>
    </row>
    <row r="883">
      <c r="D883" s="5" t="n"/>
      <c r="H883" s="6" t="n"/>
      <c r="J883" s="8" t="n"/>
      <c r="K883" s="6" t="n"/>
      <c r="L883" s="9" t="n"/>
      <c r="M883" s="5" t="n"/>
      <c r="N883" s="5" t="n"/>
      <c r="O883" s="5" t="n"/>
    </row>
    <row r="884">
      <c r="D884" s="5" t="n"/>
      <c r="H884" s="6" t="n"/>
      <c r="J884" s="8" t="n"/>
      <c r="K884" s="6" t="n"/>
      <c r="L884" s="9" t="n"/>
      <c r="M884" s="5" t="n"/>
      <c r="N884" s="5" t="n"/>
      <c r="O884" s="5" t="n"/>
    </row>
    <row r="885">
      <c r="D885" s="5" t="n"/>
      <c r="H885" s="6" t="n"/>
      <c r="J885" s="8" t="n"/>
      <c r="K885" s="6" t="n"/>
      <c r="L885" s="9" t="n"/>
      <c r="M885" s="5" t="n"/>
      <c r="N885" s="5" t="n"/>
      <c r="O885" s="5" t="n"/>
    </row>
    <row r="886">
      <c r="D886" s="5" t="n"/>
      <c r="H886" s="6" t="n"/>
      <c r="J886" s="8" t="n"/>
      <c r="K886" s="6" t="n"/>
      <c r="L886" s="9" t="n"/>
      <c r="M886" s="5" t="n"/>
      <c r="N886" s="5" t="n"/>
      <c r="O886" s="5" t="n"/>
    </row>
    <row r="887">
      <c r="D887" s="5" t="n"/>
      <c r="H887" s="6" t="n"/>
      <c r="J887" s="8" t="n"/>
      <c r="K887" s="6" t="n"/>
      <c r="L887" s="9" t="n"/>
      <c r="M887" s="5" t="n"/>
      <c r="N887" s="5" t="n"/>
      <c r="O887" s="5" t="n"/>
    </row>
    <row r="888">
      <c r="D888" s="5" t="n"/>
      <c r="H888" s="6" t="n"/>
      <c r="J888" s="8" t="n"/>
      <c r="K888" s="6" t="n"/>
      <c r="L888" s="9" t="n"/>
      <c r="M888" s="5" t="n"/>
      <c r="N888" s="5" t="n"/>
      <c r="O888" s="5" t="n"/>
    </row>
    <row r="889">
      <c r="D889" s="5" t="n"/>
      <c r="H889" s="6" t="n"/>
      <c r="J889" s="8" t="n"/>
      <c r="K889" s="6" t="n"/>
      <c r="L889" s="9" t="n"/>
      <c r="M889" s="5" t="n"/>
      <c r="N889" s="5" t="n"/>
      <c r="O889" s="5" t="n"/>
    </row>
    <row r="890">
      <c r="D890" s="5" t="n"/>
      <c r="H890" s="6" t="n"/>
      <c r="J890" s="8" t="n"/>
      <c r="K890" s="6" t="n"/>
      <c r="L890" s="9" t="n"/>
      <c r="M890" s="5" t="n"/>
      <c r="N890" s="5" t="n"/>
      <c r="O890" s="5" t="n"/>
    </row>
    <row r="891">
      <c r="D891" s="5" t="n"/>
      <c r="H891" s="6" t="n"/>
      <c r="J891" s="8" t="n"/>
      <c r="K891" s="6" t="n"/>
      <c r="L891" s="9" t="n"/>
      <c r="M891" s="5" t="n"/>
      <c r="N891" s="5" t="n"/>
      <c r="O891" s="5" t="n"/>
    </row>
    <row r="892">
      <c r="D892" s="5" t="n"/>
      <c r="H892" s="6" t="n"/>
      <c r="J892" s="8" t="n"/>
      <c r="K892" s="6" t="n"/>
      <c r="L892" s="9" t="n"/>
      <c r="M892" s="5" t="n"/>
      <c r="N892" s="5" t="n"/>
      <c r="O892" s="5" t="n"/>
    </row>
    <row r="893">
      <c r="D893" s="5" t="n"/>
      <c r="H893" s="6" t="n"/>
      <c r="J893" s="8" t="n"/>
      <c r="K893" s="6" t="n"/>
      <c r="L893" s="9" t="n"/>
      <c r="M893" s="5" t="n"/>
      <c r="N893" s="5" t="n"/>
      <c r="O893" s="5" t="n"/>
    </row>
    <row r="894">
      <c r="D894" s="5" t="n"/>
      <c r="H894" s="6" t="n"/>
      <c r="J894" s="8" t="n"/>
      <c r="K894" s="6" t="n"/>
      <c r="L894" s="9" t="n"/>
      <c r="M894" s="5" t="n"/>
      <c r="N894" s="5" t="n"/>
      <c r="O894" s="5" t="n"/>
    </row>
    <row r="895">
      <c r="D895" s="5" t="n"/>
      <c r="H895" s="6" t="n"/>
      <c r="J895" s="8" t="n"/>
      <c r="K895" s="6" t="n"/>
      <c r="L895" s="9" t="n"/>
      <c r="M895" s="5" t="n"/>
      <c r="N895" s="5" t="n"/>
      <c r="O895" s="5" t="n"/>
    </row>
    <row r="896">
      <c r="D896" s="5" t="n"/>
      <c r="H896" s="6" t="n"/>
      <c r="J896" s="8" t="n"/>
      <c r="K896" s="6" t="n"/>
      <c r="L896" s="9" t="n"/>
      <c r="M896" s="5" t="n"/>
      <c r="N896" s="5" t="n"/>
      <c r="O896" s="5" t="n"/>
    </row>
    <row r="897">
      <c r="D897" s="5" t="n"/>
      <c r="H897" s="6" t="n"/>
      <c r="J897" s="8" t="n"/>
      <c r="K897" s="6" t="n"/>
      <c r="L897" s="9" t="n"/>
      <c r="M897" s="5" t="n"/>
      <c r="N897" s="5" t="n"/>
      <c r="O897" s="5" t="n"/>
    </row>
    <row r="898">
      <c r="D898" s="5" t="n"/>
      <c r="H898" s="6" t="n"/>
      <c r="J898" s="8" t="n"/>
      <c r="K898" s="6" t="n"/>
      <c r="L898" s="9" t="n"/>
      <c r="M898" s="5" t="n"/>
      <c r="N898" s="5" t="n"/>
      <c r="O898" s="5" t="n"/>
    </row>
    <row r="899">
      <c r="D899" s="5" t="n"/>
      <c r="H899" s="6" t="n"/>
      <c r="J899" s="8" t="n"/>
      <c r="K899" s="6" t="n"/>
      <c r="L899" s="9" t="n"/>
      <c r="M899" s="5" t="n"/>
      <c r="N899" s="5" t="n"/>
      <c r="O899" s="5" t="n"/>
    </row>
    <row r="900">
      <c r="D900" s="5" t="n"/>
      <c r="H900" s="6" t="n"/>
      <c r="J900" s="8" t="n"/>
      <c r="K900" s="6" t="n"/>
      <c r="L900" s="9" t="n"/>
      <c r="M900" s="5" t="n"/>
      <c r="N900" s="5" t="n"/>
      <c r="O900" s="5" t="n"/>
    </row>
    <row r="901">
      <c r="D901" s="5" t="n"/>
      <c r="H901" s="6" t="n"/>
      <c r="J901" s="8" t="n"/>
      <c r="K901" s="6" t="n"/>
      <c r="L901" s="9" t="n"/>
      <c r="M901" s="5" t="n"/>
      <c r="N901" s="5" t="n"/>
      <c r="O901" s="5" t="n"/>
    </row>
    <row r="902">
      <c r="D902" s="5" t="n"/>
      <c r="H902" s="6" t="n"/>
      <c r="J902" s="8" t="n"/>
      <c r="K902" s="6" t="n"/>
      <c r="L902" s="9" t="n"/>
      <c r="M902" s="5" t="n"/>
      <c r="N902" s="5" t="n"/>
      <c r="O902" s="5" t="n"/>
    </row>
    <row r="903">
      <c r="D903" s="5" t="n"/>
      <c r="H903" s="6" t="n"/>
      <c r="J903" s="8" t="n"/>
      <c r="K903" s="6" t="n"/>
      <c r="L903" s="9" t="n"/>
      <c r="M903" s="5" t="n"/>
      <c r="N903" s="5" t="n"/>
      <c r="O903" s="5" t="n"/>
    </row>
    <row r="904">
      <c r="D904" s="5" t="n"/>
      <c r="H904" s="6" t="n"/>
      <c r="J904" s="8" t="n"/>
      <c r="K904" s="6" t="n"/>
      <c r="L904" s="9" t="n"/>
      <c r="M904" s="5" t="n"/>
      <c r="N904" s="5" t="n"/>
      <c r="O904" s="5" t="n"/>
    </row>
    <row r="905">
      <c r="D905" s="5" t="n"/>
      <c r="H905" s="6" t="n"/>
      <c r="J905" s="8" t="n"/>
      <c r="K905" s="6" t="n"/>
      <c r="L905" s="9" t="n"/>
      <c r="M905" s="5" t="n"/>
      <c r="N905" s="5" t="n"/>
      <c r="O905" s="5" t="n"/>
    </row>
    <row r="906">
      <c r="D906" s="5" t="n"/>
      <c r="H906" s="6" t="n"/>
      <c r="J906" s="8" t="n"/>
      <c r="K906" s="6" t="n"/>
      <c r="L906" s="9" t="n"/>
      <c r="M906" s="5" t="n"/>
      <c r="N906" s="5" t="n"/>
      <c r="O906" s="5" t="n"/>
    </row>
    <row r="907">
      <c r="D907" s="5" t="n"/>
      <c r="H907" s="6" t="n"/>
      <c r="J907" s="8" t="n"/>
      <c r="K907" s="6" t="n"/>
      <c r="L907" s="9" t="n"/>
      <c r="M907" s="5" t="n"/>
      <c r="N907" s="5" t="n"/>
      <c r="O907" s="5" t="n"/>
    </row>
    <row r="908">
      <c r="D908" s="5" t="n"/>
      <c r="H908" s="6" t="n"/>
      <c r="J908" s="8" t="n"/>
      <c r="K908" s="6" t="n"/>
      <c r="L908" s="9" t="n"/>
      <c r="M908" s="5" t="n"/>
      <c r="N908" s="5" t="n"/>
      <c r="O908" s="5" t="n"/>
    </row>
    <row r="909">
      <c r="D909" s="5" t="n"/>
      <c r="H909" s="6" t="n"/>
      <c r="J909" s="8" t="n"/>
      <c r="K909" s="6" t="n"/>
      <c r="L909" s="9" t="n"/>
      <c r="M909" s="5" t="n"/>
      <c r="N909" s="5" t="n"/>
      <c r="O909" s="5" t="n"/>
    </row>
    <row r="910">
      <c r="D910" s="5" t="n"/>
      <c r="H910" s="6" t="n"/>
      <c r="J910" s="8" t="n"/>
      <c r="K910" s="6" t="n"/>
      <c r="L910" s="9" t="n"/>
      <c r="M910" s="5" t="n"/>
      <c r="N910" s="5" t="n"/>
      <c r="O910" s="5" t="n"/>
    </row>
    <row r="911">
      <c r="D911" s="5" t="n"/>
      <c r="H911" s="6" t="n"/>
      <c r="J911" s="8" t="n"/>
      <c r="K911" s="6" t="n"/>
      <c r="L911" s="9" t="n"/>
      <c r="M911" s="5" t="n"/>
      <c r="N911" s="5" t="n"/>
      <c r="O911" s="5" t="n"/>
    </row>
    <row r="912">
      <c r="D912" s="5" t="n"/>
      <c r="H912" s="6" t="n"/>
      <c r="J912" s="8" t="n"/>
      <c r="K912" s="6" t="n"/>
      <c r="L912" s="9" t="n"/>
      <c r="M912" s="5" t="n"/>
      <c r="N912" s="5" t="n"/>
      <c r="O912" s="5" t="n"/>
    </row>
    <row r="913">
      <c r="D913" s="5" t="n"/>
      <c r="H913" s="6" t="n"/>
      <c r="J913" s="8" t="n"/>
      <c r="K913" s="6" t="n"/>
      <c r="L913" s="9" t="n"/>
      <c r="M913" s="5" t="n"/>
      <c r="N913" s="5" t="n"/>
      <c r="O913" s="5" t="n"/>
    </row>
    <row r="914">
      <c r="D914" s="5" t="n"/>
      <c r="H914" s="6" t="n"/>
      <c r="J914" s="8" t="n"/>
      <c r="K914" s="6" t="n"/>
      <c r="L914" s="9" t="n"/>
      <c r="M914" s="5" t="n"/>
      <c r="N914" s="5" t="n"/>
      <c r="O914" s="5" t="n"/>
    </row>
    <row r="915">
      <c r="D915" s="5" t="n"/>
      <c r="H915" s="6" t="n"/>
      <c r="J915" s="8" t="n"/>
      <c r="K915" s="6" t="n"/>
      <c r="L915" s="9" t="n"/>
      <c r="M915" s="5" t="n"/>
      <c r="N915" s="5" t="n"/>
      <c r="O915" s="5" t="n"/>
    </row>
    <row r="916">
      <c r="D916" s="5" t="n"/>
      <c r="H916" s="6" t="n"/>
      <c r="J916" s="8" t="n"/>
      <c r="K916" s="6" t="n"/>
      <c r="L916" s="9" t="n"/>
      <c r="M916" s="5" t="n"/>
      <c r="N916" s="5" t="n"/>
      <c r="O916" s="5" t="n"/>
    </row>
    <row r="917">
      <c r="D917" s="5" t="n"/>
      <c r="H917" s="6" t="n"/>
      <c r="J917" s="8" t="n"/>
      <c r="K917" s="6" t="n"/>
      <c r="L917" s="9" t="n"/>
      <c r="M917" s="5" t="n"/>
      <c r="N917" s="5" t="n"/>
      <c r="O917" s="5" t="n"/>
    </row>
    <row r="918">
      <c r="D918" s="5" t="n"/>
      <c r="H918" s="6" t="n"/>
      <c r="J918" s="8" t="n"/>
      <c r="K918" s="6" t="n"/>
      <c r="L918" s="9" t="n"/>
      <c r="M918" s="5" t="n"/>
      <c r="N918" s="5" t="n"/>
      <c r="O918" s="5" t="n"/>
    </row>
    <row r="919">
      <c r="D919" s="5" t="n"/>
      <c r="H919" s="6" t="n"/>
      <c r="J919" s="8" t="n"/>
      <c r="K919" s="6" t="n"/>
      <c r="L919" s="9" t="n"/>
      <c r="M919" s="5" t="n"/>
      <c r="N919" s="5" t="n"/>
      <c r="O919" s="5" t="n"/>
    </row>
    <row r="920">
      <c r="D920" s="5" t="n"/>
      <c r="H920" s="6" t="n"/>
      <c r="J920" s="8" t="n"/>
      <c r="K920" s="6" t="n"/>
      <c r="L920" s="9" t="n"/>
      <c r="M920" s="5" t="n"/>
      <c r="N920" s="5" t="n"/>
      <c r="O920" s="5" t="n"/>
    </row>
    <row r="921">
      <c r="D921" s="5" t="n"/>
      <c r="H921" s="6" t="n"/>
      <c r="J921" s="8" t="n"/>
      <c r="K921" s="6" t="n"/>
      <c r="L921" s="9" t="n"/>
      <c r="M921" s="5" t="n"/>
      <c r="N921" s="5" t="n"/>
      <c r="O921" s="5" t="n"/>
    </row>
    <row r="922">
      <c r="D922" s="5" t="n"/>
      <c r="H922" s="6" t="n"/>
      <c r="J922" s="8" t="n"/>
      <c r="K922" s="6" t="n"/>
      <c r="L922" s="9" t="n"/>
      <c r="M922" s="5" t="n"/>
      <c r="N922" s="5" t="n"/>
      <c r="O922" s="5" t="n"/>
    </row>
    <row r="923">
      <c r="D923" s="5" t="n"/>
      <c r="H923" s="6" t="n"/>
      <c r="J923" s="8" t="n"/>
      <c r="K923" s="6" t="n"/>
      <c r="L923" s="9" t="n"/>
      <c r="M923" s="5" t="n"/>
      <c r="N923" s="5" t="n"/>
      <c r="O923" s="5" t="n"/>
    </row>
    <row r="924">
      <c r="D924" s="5" t="n"/>
      <c r="H924" s="6" t="n"/>
      <c r="J924" s="8" t="n"/>
      <c r="K924" s="6" t="n"/>
      <c r="L924" s="9" t="n"/>
      <c r="M924" s="5" t="n"/>
      <c r="N924" s="5" t="n"/>
      <c r="O924" s="5" t="n"/>
    </row>
    <row r="925">
      <c r="D925" s="5" t="n"/>
      <c r="H925" s="6" t="n"/>
      <c r="J925" s="8" t="n"/>
      <c r="K925" s="6" t="n"/>
      <c r="L925" s="9" t="n"/>
      <c r="M925" s="5" t="n"/>
      <c r="N925" s="5" t="n"/>
      <c r="O925" s="5" t="n"/>
    </row>
    <row r="926">
      <c r="D926" s="5" t="n"/>
      <c r="H926" s="6" t="n"/>
      <c r="J926" s="8" t="n"/>
      <c r="K926" s="6" t="n"/>
      <c r="L926" s="9" t="n"/>
      <c r="M926" s="5" t="n"/>
      <c r="N926" s="5" t="n"/>
      <c r="O926" s="5" t="n"/>
    </row>
    <row r="927">
      <c r="D927" s="5" t="n"/>
      <c r="H927" s="6" t="n"/>
      <c r="J927" s="8" t="n"/>
      <c r="K927" s="6" t="n"/>
      <c r="L927" s="9" t="n"/>
      <c r="M927" s="5" t="n"/>
      <c r="N927" s="5" t="n"/>
      <c r="O927" s="5" t="n"/>
    </row>
    <row r="928">
      <c r="D928" s="5" t="n"/>
      <c r="H928" s="6" t="n"/>
      <c r="J928" s="8" t="n"/>
      <c r="K928" s="6" t="n"/>
      <c r="L928" s="9" t="n"/>
      <c r="M928" s="5" t="n"/>
      <c r="N928" s="5" t="n"/>
      <c r="O928" s="5" t="n"/>
    </row>
    <row r="929">
      <c r="D929" s="5" t="n"/>
      <c r="H929" s="6" t="n"/>
      <c r="J929" s="8" t="n"/>
      <c r="K929" s="6" t="n"/>
      <c r="L929" s="9" t="n"/>
      <c r="M929" s="5" t="n"/>
      <c r="N929" s="5" t="n"/>
      <c r="O929" s="5" t="n"/>
    </row>
    <row r="930">
      <c r="D930" s="5" t="n"/>
      <c r="H930" s="6" t="n"/>
      <c r="J930" s="8" t="n"/>
      <c r="K930" s="6" t="n"/>
      <c r="L930" s="9" t="n"/>
      <c r="M930" s="5" t="n"/>
      <c r="N930" s="5" t="n"/>
      <c r="O930" s="5" t="n"/>
    </row>
    <row r="931">
      <c r="D931" s="5" t="n"/>
      <c r="H931" s="6" t="n"/>
      <c r="J931" s="8" t="n"/>
      <c r="K931" s="6" t="n"/>
      <c r="L931" s="9" t="n"/>
      <c r="M931" s="5" t="n"/>
      <c r="N931" s="5" t="n"/>
      <c r="O931" s="5" t="n"/>
    </row>
    <row r="932">
      <c r="D932" s="5" t="n"/>
      <c r="H932" s="6" t="n"/>
      <c r="J932" s="8" t="n"/>
      <c r="K932" s="6" t="n"/>
      <c r="L932" s="9" t="n"/>
      <c r="M932" s="5" t="n"/>
      <c r="N932" s="5" t="n"/>
      <c r="O932" s="5" t="n"/>
    </row>
    <row r="933">
      <c r="D933" s="5" t="n"/>
      <c r="H933" s="6" t="n"/>
      <c r="J933" s="8" t="n"/>
      <c r="K933" s="6" t="n"/>
      <c r="L933" s="9" t="n"/>
      <c r="M933" s="5" t="n"/>
      <c r="N933" s="5" t="n"/>
      <c r="O933" s="5" t="n"/>
    </row>
    <row r="934">
      <c r="D934" s="5" t="n"/>
      <c r="H934" s="6" t="n"/>
      <c r="J934" s="8" t="n"/>
      <c r="K934" s="6" t="n"/>
      <c r="L934" s="9" t="n"/>
      <c r="M934" s="5" t="n"/>
      <c r="N934" s="5" t="n"/>
      <c r="O934" s="5" t="n"/>
    </row>
    <row r="935">
      <c r="D935" s="5" t="n"/>
      <c r="H935" s="6" t="n"/>
      <c r="J935" s="8" t="n"/>
      <c r="K935" s="6" t="n"/>
      <c r="L935" s="9" t="n"/>
      <c r="M935" s="5" t="n"/>
      <c r="N935" s="5" t="n"/>
      <c r="O935" s="5" t="n"/>
    </row>
    <row r="936">
      <c r="D936" s="5" t="n"/>
      <c r="H936" s="6" t="n"/>
      <c r="J936" s="8" t="n"/>
      <c r="K936" s="6" t="n"/>
      <c r="L936" s="9" t="n"/>
      <c r="M936" s="5" t="n"/>
      <c r="N936" s="5" t="n"/>
      <c r="O936" s="5" t="n"/>
    </row>
    <row r="937">
      <c r="D937" s="5" t="n"/>
      <c r="H937" s="6" t="n"/>
      <c r="J937" s="8" t="n"/>
      <c r="K937" s="6" t="n"/>
      <c r="L937" s="9" t="n"/>
      <c r="M937" s="5" t="n"/>
      <c r="N937" s="5" t="n"/>
      <c r="O937" s="5" t="n"/>
    </row>
    <row r="938">
      <c r="D938" s="5" t="n"/>
      <c r="H938" s="6" t="n"/>
      <c r="J938" s="8" t="n"/>
      <c r="K938" s="6" t="n"/>
      <c r="L938" s="9" t="n"/>
      <c r="M938" s="5" t="n"/>
      <c r="N938" s="5" t="n"/>
      <c r="O938" s="5" t="n"/>
    </row>
    <row r="939">
      <c r="D939" s="5" t="n"/>
      <c r="H939" s="6" t="n"/>
      <c r="J939" s="8" t="n"/>
      <c r="K939" s="6" t="n"/>
      <c r="L939" s="9" t="n"/>
      <c r="M939" s="5" t="n"/>
      <c r="N939" s="5" t="n"/>
      <c r="O939" s="5" t="n"/>
    </row>
    <row r="940">
      <c r="D940" s="5" t="n"/>
      <c r="H940" s="6" t="n"/>
      <c r="J940" s="8" t="n"/>
      <c r="K940" s="6" t="n"/>
      <c r="L940" s="9" t="n"/>
      <c r="M940" s="5" t="n"/>
      <c r="N940" s="5" t="n"/>
      <c r="O940" s="5" t="n"/>
    </row>
    <row r="941">
      <c r="D941" s="5" t="n"/>
      <c r="H941" s="6" t="n"/>
      <c r="J941" s="8" t="n"/>
      <c r="K941" s="6" t="n"/>
      <c r="L941" s="9" t="n"/>
      <c r="M941" s="5" t="n"/>
      <c r="N941" s="5" t="n"/>
      <c r="O941" s="5" t="n"/>
    </row>
    <row r="942">
      <c r="D942" s="5" t="n"/>
      <c r="H942" s="6" t="n"/>
      <c r="J942" s="8" t="n"/>
      <c r="K942" s="6" t="n"/>
      <c r="L942" s="9" t="n"/>
      <c r="M942" s="5" t="n"/>
      <c r="N942" s="5" t="n"/>
      <c r="O942" s="5" t="n"/>
    </row>
    <row r="943">
      <c r="D943" s="5" t="n"/>
      <c r="H943" s="6" t="n"/>
      <c r="J943" s="8" t="n"/>
      <c r="K943" s="6" t="n"/>
      <c r="L943" s="9" t="n"/>
      <c r="M943" s="5" t="n"/>
      <c r="N943" s="5" t="n"/>
      <c r="O943" s="5" t="n"/>
    </row>
    <row r="944">
      <c r="D944" s="5" t="n"/>
      <c r="H944" s="6" t="n"/>
      <c r="J944" s="8" t="n"/>
      <c r="K944" s="6" t="n"/>
      <c r="L944" s="9" t="n"/>
      <c r="M944" s="5" t="n"/>
      <c r="N944" s="5" t="n"/>
      <c r="O944" s="5" t="n"/>
    </row>
    <row r="945">
      <c r="D945" s="5" t="n"/>
      <c r="H945" s="6" t="n"/>
      <c r="J945" s="8" t="n"/>
      <c r="K945" s="6" t="n"/>
      <c r="L945" s="9" t="n"/>
      <c r="M945" s="5" t="n"/>
      <c r="N945" s="5" t="n"/>
      <c r="O945" s="5" t="n"/>
    </row>
    <row r="946">
      <c r="D946" s="5" t="n"/>
      <c r="H946" s="6" t="n"/>
      <c r="J946" s="8" t="n"/>
      <c r="K946" s="6" t="n"/>
      <c r="L946" s="9" t="n"/>
      <c r="M946" s="5" t="n"/>
      <c r="N946" s="5" t="n"/>
      <c r="O946" s="5" t="n"/>
    </row>
    <row r="947">
      <c r="D947" s="5" t="n"/>
      <c r="H947" s="6" t="n"/>
      <c r="J947" s="8" t="n"/>
      <c r="K947" s="6" t="n"/>
      <c r="L947" s="9" t="n"/>
      <c r="M947" s="5" t="n"/>
      <c r="N947" s="5" t="n"/>
      <c r="O947" s="5" t="n"/>
    </row>
    <row r="948">
      <c r="D948" s="5" t="n"/>
      <c r="H948" s="6" t="n"/>
      <c r="J948" s="8" t="n"/>
      <c r="K948" s="6" t="n"/>
      <c r="L948" s="9" t="n"/>
      <c r="M948" s="5" t="n"/>
      <c r="N948" s="5" t="n"/>
      <c r="O948" s="5" t="n"/>
    </row>
    <row r="949">
      <c r="D949" s="5" t="n"/>
      <c r="H949" s="6" t="n"/>
      <c r="J949" s="8" t="n"/>
      <c r="K949" s="6" t="n"/>
      <c r="L949" s="9" t="n"/>
      <c r="M949" s="5" t="n"/>
      <c r="N949" s="5" t="n"/>
      <c r="O949" s="5" t="n"/>
    </row>
    <row r="950">
      <c r="D950" s="5" t="n"/>
      <c r="H950" s="6" t="n"/>
      <c r="J950" s="8" t="n"/>
      <c r="K950" s="6" t="n"/>
      <c r="L950" s="9" t="n"/>
      <c r="M950" s="5" t="n"/>
      <c r="N950" s="5" t="n"/>
      <c r="O950" s="5" t="n"/>
    </row>
    <row r="951">
      <c r="D951" s="5" t="n"/>
      <c r="H951" s="6" t="n"/>
      <c r="J951" s="8" t="n"/>
      <c r="K951" s="6" t="n"/>
      <c r="L951" s="9" t="n"/>
      <c r="M951" s="5" t="n"/>
      <c r="N951" s="5" t="n"/>
      <c r="O951" s="5" t="n"/>
    </row>
    <row r="952">
      <c r="D952" s="5" t="n"/>
      <c r="H952" s="6" t="n"/>
      <c r="J952" s="8" t="n"/>
      <c r="K952" s="6" t="n"/>
      <c r="L952" s="9" t="n"/>
      <c r="M952" s="5" t="n"/>
      <c r="N952" s="5" t="n"/>
      <c r="O952" s="5" t="n"/>
    </row>
    <row r="953">
      <c r="D953" s="5" t="n"/>
      <c r="H953" s="6" t="n"/>
      <c r="J953" s="8" t="n"/>
      <c r="K953" s="6" t="n"/>
      <c r="L953" s="9" t="n"/>
      <c r="M953" s="5" t="n"/>
      <c r="N953" s="5" t="n"/>
      <c r="O953" s="5" t="n"/>
    </row>
    <row r="954">
      <c r="D954" s="5" t="n"/>
      <c r="H954" s="6" t="n"/>
      <c r="J954" s="8" t="n"/>
      <c r="K954" s="6" t="n"/>
      <c r="L954" s="9" t="n"/>
      <c r="M954" s="5" t="n"/>
      <c r="N954" s="5" t="n"/>
      <c r="O954" s="5" t="n"/>
    </row>
    <row r="955">
      <c r="D955" s="5" t="n"/>
      <c r="H955" s="6" t="n"/>
      <c r="J955" s="8" t="n"/>
      <c r="K955" s="6" t="n"/>
      <c r="L955" s="9" t="n"/>
      <c r="M955" s="5" t="n"/>
      <c r="N955" s="5" t="n"/>
      <c r="O955" s="5" t="n"/>
    </row>
    <row r="956">
      <c r="D956" s="5" t="n"/>
      <c r="H956" s="6" t="n"/>
      <c r="J956" s="8" t="n"/>
      <c r="K956" s="6" t="n"/>
      <c r="L956" s="9" t="n"/>
      <c r="M956" s="5" t="n"/>
      <c r="N956" s="5" t="n"/>
      <c r="O956" s="5" t="n"/>
    </row>
    <row r="957">
      <c r="D957" s="5" t="n"/>
      <c r="H957" s="6" t="n"/>
      <c r="J957" s="8" t="n"/>
      <c r="K957" s="6" t="n"/>
      <c r="L957" s="9" t="n"/>
      <c r="M957" s="5" t="n"/>
      <c r="N957" s="5" t="n"/>
      <c r="O957" s="5" t="n"/>
    </row>
    <row r="958">
      <c r="D958" s="5" t="n"/>
      <c r="H958" s="6" t="n"/>
      <c r="J958" s="8" t="n"/>
      <c r="K958" s="6" t="n"/>
      <c r="L958" s="9" t="n"/>
      <c r="M958" s="5" t="n"/>
      <c r="N958" s="5" t="n"/>
      <c r="O958" s="5" t="n"/>
    </row>
    <row r="959">
      <c r="D959" s="5" t="n"/>
      <c r="H959" s="6" t="n"/>
      <c r="J959" s="8" t="n"/>
      <c r="K959" s="6" t="n"/>
      <c r="L959" s="9" t="n"/>
      <c r="M959" s="5" t="n"/>
      <c r="N959" s="5" t="n"/>
      <c r="O959" s="5" t="n"/>
    </row>
    <row r="960">
      <c r="D960" s="5" t="n"/>
      <c r="H960" s="6" t="n"/>
      <c r="J960" s="8" t="n"/>
      <c r="K960" s="6" t="n"/>
      <c r="L960" s="9" t="n"/>
      <c r="M960" s="5" t="n"/>
      <c r="N960" s="5" t="n"/>
      <c r="O960" s="5" t="n"/>
    </row>
    <row r="961">
      <c r="D961" s="5" t="n"/>
      <c r="H961" s="6" t="n"/>
      <c r="J961" s="8" t="n"/>
      <c r="K961" s="6" t="n"/>
      <c r="L961" s="9" t="n"/>
      <c r="M961" s="5" t="n"/>
      <c r="N961" s="5" t="n"/>
      <c r="O961" s="5" t="n"/>
    </row>
    <row r="962">
      <c r="D962" s="5" t="n"/>
      <c r="H962" s="6" t="n"/>
      <c r="J962" s="8" t="n"/>
      <c r="K962" s="6" t="n"/>
      <c r="L962" s="9" t="n"/>
      <c r="M962" s="5" t="n"/>
      <c r="N962" s="5" t="n"/>
      <c r="O962" s="5" t="n"/>
    </row>
    <row r="963">
      <c r="D963" s="5" t="n"/>
      <c r="H963" s="6" t="n"/>
      <c r="J963" s="8" t="n"/>
      <c r="K963" s="6" t="n"/>
      <c r="L963" s="9" t="n"/>
      <c r="M963" s="5" t="n"/>
      <c r="N963" s="5" t="n"/>
      <c r="O963" s="5" t="n"/>
    </row>
    <row r="964">
      <c r="D964" s="5" t="n"/>
      <c r="H964" s="6" t="n"/>
      <c r="J964" s="8" t="n"/>
      <c r="K964" s="6" t="n"/>
      <c r="L964" s="9" t="n"/>
      <c r="M964" s="5" t="n"/>
      <c r="N964" s="5" t="n"/>
      <c r="O964" s="5" t="n"/>
    </row>
    <row r="965">
      <c r="D965" s="5" t="n"/>
      <c r="H965" s="6" t="n"/>
      <c r="J965" s="8" t="n"/>
      <c r="K965" s="6" t="n"/>
      <c r="L965" s="9" t="n"/>
      <c r="M965" s="5" t="n"/>
      <c r="N965" s="5" t="n"/>
      <c r="O965" s="5" t="n"/>
    </row>
    <row r="966">
      <c r="D966" s="5" t="n"/>
      <c r="H966" s="6" t="n"/>
      <c r="J966" s="8" t="n"/>
      <c r="K966" s="6" t="n"/>
      <c r="L966" s="9" t="n"/>
      <c r="M966" s="5" t="n"/>
      <c r="N966" s="5" t="n"/>
      <c r="O966" s="5" t="n"/>
    </row>
    <row r="967">
      <c r="D967" s="5" t="n"/>
      <c r="H967" s="6" t="n"/>
      <c r="J967" s="8" t="n"/>
      <c r="K967" s="6" t="n"/>
      <c r="L967" s="9" t="n"/>
      <c r="M967" s="5" t="n"/>
      <c r="N967" s="5" t="n"/>
      <c r="O967" s="5" t="n"/>
    </row>
    <row r="968">
      <c r="D968" s="5" t="n"/>
      <c r="H968" s="6" t="n"/>
      <c r="J968" s="8" t="n"/>
      <c r="K968" s="6" t="n"/>
      <c r="L968" s="9" t="n"/>
      <c r="M968" s="5" t="n"/>
      <c r="N968" s="5" t="n"/>
      <c r="O968" s="5" t="n"/>
    </row>
    <row r="969">
      <c r="D969" s="5" t="n"/>
      <c r="H969" s="6" t="n"/>
      <c r="J969" s="8" t="n"/>
      <c r="K969" s="6" t="n"/>
      <c r="L969" s="9" t="n"/>
      <c r="M969" s="5" t="n"/>
      <c r="N969" s="5" t="n"/>
      <c r="O969" s="5" t="n"/>
    </row>
    <row r="970">
      <c r="D970" s="5" t="n"/>
      <c r="H970" s="6" t="n"/>
      <c r="J970" s="8" t="n"/>
      <c r="K970" s="6" t="n"/>
      <c r="L970" s="9" t="n"/>
      <c r="M970" s="5" t="n"/>
      <c r="N970" s="5" t="n"/>
      <c r="O970" s="5" t="n"/>
    </row>
    <row r="971">
      <c r="D971" s="5" t="n"/>
      <c r="H971" s="6" t="n"/>
      <c r="J971" s="8" t="n"/>
      <c r="K971" s="6" t="n"/>
      <c r="L971" s="9" t="n"/>
      <c r="M971" s="5" t="n"/>
      <c r="N971" s="5" t="n"/>
      <c r="O971" s="5" t="n"/>
    </row>
    <row r="972">
      <c r="D972" s="5" t="n"/>
      <c r="H972" s="6" t="n"/>
      <c r="J972" s="8" t="n"/>
      <c r="K972" s="6" t="n"/>
      <c r="L972" s="9" t="n"/>
      <c r="M972" s="5" t="n"/>
      <c r="N972" s="5" t="n"/>
      <c r="O972" s="5" t="n"/>
    </row>
    <row r="973">
      <c r="D973" s="5" t="n"/>
      <c r="H973" s="6" t="n"/>
      <c r="J973" s="8" t="n"/>
      <c r="K973" s="6" t="n"/>
      <c r="L973" s="9" t="n"/>
      <c r="M973" s="5" t="n"/>
      <c r="N973" s="5" t="n"/>
      <c r="O973" s="5" t="n"/>
    </row>
    <row r="974">
      <c r="D974" s="5" t="n"/>
      <c r="H974" s="6" t="n"/>
      <c r="J974" s="8" t="n"/>
      <c r="K974" s="6" t="n"/>
      <c r="L974" s="9" t="n"/>
      <c r="M974" s="5" t="n"/>
      <c r="N974" s="5" t="n"/>
      <c r="O974" s="5" t="n"/>
    </row>
    <row r="975">
      <c r="D975" s="5" t="n"/>
      <c r="H975" s="6" t="n"/>
      <c r="J975" s="8" t="n"/>
      <c r="K975" s="6" t="n"/>
      <c r="L975" s="9" t="n"/>
      <c r="M975" s="5" t="n"/>
      <c r="N975" s="5" t="n"/>
      <c r="O975" s="5" t="n"/>
    </row>
    <row r="976">
      <c r="D976" s="5" t="n"/>
      <c r="H976" s="6" t="n"/>
      <c r="J976" s="8" t="n"/>
      <c r="K976" s="6" t="n"/>
      <c r="L976" s="9" t="n"/>
      <c r="M976" s="5" t="n"/>
      <c r="N976" s="5" t="n"/>
      <c r="O976" s="5" t="n"/>
    </row>
    <row r="977">
      <c r="D977" s="5" t="n"/>
      <c r="H977" s="6" t="n"/>
      <c r="J977" s="8" t="n"/>
      <c r="K977" s="6" t="n"/>
      <c r="L977" s="9" t="n"/>
      <c r="M977" s="5" t="n"/>
      <c r="N977" s="5" t="n"/>
      <c r="O977" s="5" t="n"/>
    </row>
    <row r="978">
      <c r="D978" s="5" t="n"/>
      <c r="H978" s="6" t="n"/>
      <c r="J978" s="8" t="n"/>
      <c r="K978" s="6" t="n"/>
      <c r="L978" s="9" t="n"/>
      <c r="M978" s="5" t="n"/>
      <c r="N978" s="5" t="n"/>
      <c r="O978" s="5" t="n"/>
    </row>
    <row r="979">
      <c r="D979" s="5" t="n"/>
      <c r="H979" s="6" t="n"/>
      <c r="J979" s="8" t="n"/>
      <c r="K979" s="6" t="n"/>
      <c r="L979" s="9" t="n"/>
      <c r="M979" s="5" t="n"/>
      <c r="N979" s="5" t="n"/>
      <c r="O979" s="5" t="n"/>
    </row>
    <row r="980">
      <c r="D980" s="5" t="n"/>
      <c r="H980" s="6" t="n"/>
      <c r="J980" s="8" t="n"/>
      <c r="K980" s="6" t="n"/>
      <c r="L980" s="9" t="n"/>
      <c r="M980" s="5" t="n"/>
      <c r="N980" s="5" t="n"/>
      <c r="O980" s="5" t="n"/>
    </row>
    <row r="981">
      <c r="D981" s="5" t="n"/>
      <c r="H981" s="6" t="n"/>
      <c r="J981" s="8" t="n"/>
      <c r="K981" s="6" t="n"/>
      <c r="L981" s="9" t="n"/>
      <c r="M981" s="5" t="n"/>
      <c r="N981" s="5" t="n"/>
      <c r="O981" s="5" t="n"/>
    </row>
    <row r="982">
      <c r="D982" s="5" t="n"/>
      <c r="H982" s="6" t="n"/>
      <c r="J982" s="8" t="n"/>
      <c r="K982" s="6" t="n"/>
      <c r="L982" s="9" t="n"/>
      <c r="M982" s="5" t="n"/>
      <c r="N982" s="5" t="n"/>
      <c r="O982" s="5" t="n"/>
    </row>
    <row r="983">
      <c r="D983" s="5" t="n"/>
      <c r="H983" s="6" t="n"/>
      <c r="J983" s="8" t="n"/>
      <c r="K983" s="6" t="n"/>
      <c r="L983" s="9" t="n"/>
      <c r="M983" s="5" t="n"/>
      <c r="N983" s="5" t="n"/>
      <c r="O983" s="5" t="n"/>
    </row>
    <row r="984">
      <c r="D984" s="5" t="n"/>
      <c r="H984" s="6" t="n"/>
      <c r="J984" s="8" t="n"/>
      <c r="K984" s="6" t="n"/>
      <c r="L984" s="9" t="n"/>
      <c r="M984" s="5" t="n"/>
      <c r="N984" s="5" t="n"/>
      <c r="O984" s="5" t="n"/>
    </row>
    <row r="985">
      <c r="D985" s="5" t="n"/>
      <c r="H985" s="6" t="n"/>
      <c r="J985" s="8" t="n"/>
      <c r="K985" s="6" t="n"/>
      <c r="L985" s="9" t="n"/>
      <c r="M985" s="5" t="n"/>
      <c r="N985" s="5" t="n"/>
      <c r="O985" s="5" t="n"/>
    </row>
    <row r="986">
      <c r="D986" s="5" t="n"/>
      <c r="H986" s="6" t="n"/>
      <c r="J986" s="8" t="n"/>
      <c r="K986" s="6" t="n"/>
      <c r="L986" s="9" t="n"/>
      <c r="M986" s="5" t="n"/>
      <c r="N986" s="5" t="n"/>
      <c r="O986" s="5" t="n"/>
    </row>
    <row r="987">
      <c r="D987" s="5" t="n"/>
      <c r="H987" s="6" t="n"/>
      <c r="J987" s="8" t="n"/>
      <c r="K987" s="6" t="n"/>
      <c r="L987" s="9" t="n"/>
      <c r="M987" s="5" t="n"/>
      <c r="N987" s="5" t="n"/>
      <c r="O987" s="5" t="n"/>
    </row>
    <row r="988">
      <c r="D988" s="5" t="n"/>
      <c r="H988" s="6" t="n"/>
      <c r="J988" s="8" t="n"/>
      <c r="K988" s="6" t="n"/>
      <c r="L988" s="9" t="n"/>
      <c r="M988" s="5" t="n"/>
      <c r="N988" s="5" t="n"/>
      <c r="O988" s="5" t="n"/>
    </row>
    <row r="989">
      <c r="D989" s="5" t="n"/>
      <c r="H989" s="6" t="n"/>
      <c r="J989" s="8" t="n"/>
      <c r="K989" s="6" t="n"/>
      <c r="L989" s="9" t="n"/>
      <c r="M989" s="5" t="n"/>
      <c r="N989" s="5" t="n"/>
      <c r="O989" s="5" t="n"/>
    </row>
    <row r="990">
      <c r="D990" s="5" t="n"/>
      <c r="H990" s="6" t="n"/>
      <c r="J990" s="8" t="n"/>
      <c r="K990" s="6" t="n"/>
      <c r="L990" s="9" t="n"/>
      <c r="M990" s="5" t="n"/>
      <c r="N990" s="5" t="n"/>
      <c r="O990" s="5" t="n"/>
    </row>
    <row r="991">
      <c r="D991" s="5" t="n"/>
      <c r="H991" s="6" t="n"/>
      <c r="J991" s="8" t="n"/>
      <c r="K991" s="6" t="n"/>
      <c r="L991" s="9" t="n"/>
      <c r="M991" s="5" t="n"/>
      <c r="N991" s="5" t="n"/>
      <c r="O991" s="5" t="n"/>
    </row>
    <row r="992">
      <c r="D992" s="5" t="n"/>
      <c r="H992" s="6" t="n"/>
      <c r="J992" s="8" t="n"/>
      <c r="K992" s="6" t="n"/>
      <c r="L992" s="9" t="n"/>
      <c r="M992" s="5" t="n"/>
      <c r="N992" s="5" t="n"/>
      <c r="O992" s="5" t="n"/>
    </row>
    <row r="993">
      <c r="D993" s="5" t="n"/>
      <c r="H993" s="6" t="n"/>
      <c r="J993" s="8" t="n"/>
      <c r="K993" s="6" t="n"/>
      <c r="L993" s="9" t="n"/>
      <c r="M993" s="5" t="n"/>
      <c r="N993" s="5" t="n"/>
      <c r="O993" s="5" t="n"/>
    </row>
    <row r="994">
      <c r="D994" s="5" t="n"/>
      <c r="H994" s="6" t="n"/>
      <c r="J994" s="8" t="n"/>
      <c r="K994" s="6" t="n"/>
      <c r="L994" s="9" t="n"/>
      <c r="M994" s="5" t="n"/>
      <c r="N994" s="5" t="n"/>
      <c r="O994" s="5" t="n"/>
    </row>
    <row r="995">
      <c r="D995" s="5" t="n"/>
      <c r="H995" s="6" t="n"/>
      <c r="J995" s="8" t="n"/>
      <c r="K995" s="6" t="n"/>
      <c r="L995" s="9" t="n"/>
      <c r="M995" s="5" t="n"/>
      <c r="N995" s="5" t="n"/>
      <c r="O995" s="5" t="n"/>
    </row>
    <row r="996">
      <c r="D996" s="5" t="n"/>
      <c r="H996" s="6" t="n"/>
      <c r="J996" s="8" t="n"/>
      <c r="K996" s="6" t="n"/>
      <c r="L996" s="9" t="n"/>
      <c r="M996" s="5" t="n"/>
      <c r="N996" s="5" t="n"/>
      <c r="O996" s="5" t="n"/>
    </row>
    <row r="997">
      <c r="D997" s="5" t="n"/>
      <c r="H997" s="6" t="n"/>
      <c r="J997" s="8" t="n"/>
      <c r="K997" s="6" t="n"/>
      <c r="L997" s="9" t="n"/>
      <c r="M997" s="5" t="n"/>
      <c r="N997" s="5" t="n"/>
      <c r="O997" s="5" t="n"/>
    </row>
    <row r="998">
      <c r="D998" s="5" t="n"/>
      <c r="H998" s="6" t="n"/>
      <c r="J998" s="8" t="n"/>
      <c r="K998" s="6" t="n"/>
      <c r="L998" s="9" t="n"/>
      <c r="M998" s="5" t="n"/>
      <c r="N998" s="5" t="n"/>
      <c r="O998" s="5" t="n"/>
    </row>
    <row r="999">
      <c r="D999" s="5" t="n"/>
      <c r="H999" s="6" t="n"/>
      <c r="J999" s="8" t="n"/>
      <c r="K999" s="6" t="n"/>
      <c r="L999" s="9" t="n"/>
      <c r="M999" s="5" t="n"/>
      <c r="N999" s="5" t="n"/>
      <c r="O999" s="5" t="n"/>
    </row>
    <row r="1000">
      <c r="D1000" s="5" t="n"/>
      <c r="H1000" s="6" t="n"/>
      <c r="J1000" s="8" t="n"/>
      <c r="K1000" s="6" t="n"/>
      <c r="L1000" s="9" t="n"/>
      <c r="M1000" s="5" t="n"/>
      <c r="N1000" s="5" t="n"/>
      <c r="O1000" s="5" t="n"/>
    </row>
    <row r="1001">
      <c r="D1001" s="5" t="n"/>
      <c r="H1001" s="6" t="n"/>
      <c r="J1001" s="8" t="n"/>
      <c r="K1001" s="6" t="n"/>
      <c r="L1001" s="9" t="n"/>
      <c r="M1001" s="5" t="n"/>
      <c r="N1001" s="5" t="n"/>
      <c r="O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O1001"/>
  <conditionalFormatting sqref="G2:G1001">
    <cfRule type="expression" priority="1" dxfId="0">
      <formula>$G2="Critical"</formula>
    </cfRule>
    <cfRule type="expression" priority="2" dxfId="5">
      <formula>$G2="High"</formula>
    </cfRule>
    <cfRule type="expression" priority="3" dxfId="6">
      <formula>$G2="Medium"</formula>
    </cfRule>
    <cfRule type="expression" priority="4" dxfId="9">
      <formula>$G2="Low"</formula>
    </cfRule>
  </conditionalFormatting>
  <conditionalFormatting sqref="I2:I1001">
    <cfRule type="expression" priority="5" dxfId="10">
      <formula>$I2="Complete"</formula>
    </cfRule>
    <cfRule type="expression" priority="6" dxfId="2">
      <formula>$I2="In Progress"</formula>
    </cfRule>
    <cfRule type="expression" priority="7" dxfId="11">
      <formula>$I2="Blocked"</formula>
    </cfRule>
    <cfRule type="expression" priority="8" dxfId="8">
      <formula>$I2="Not Started"</formula>
    </cfRule>
    <cfRule type="expression" priority="9" dxfId="12">
      <formula>$I2="Cancelled"</formula>
    </cfRule>
  </conditionalFormatting>
  <conditionalFormatting sqref="H2:H1001">
    <cfRule type="expression" priority="10" dxfId="1">
      <formula>=AND($H2&lt;TODAY(),$I2&lt;&gt;"Complete",$H2&lt;&gt;"")</formula>
    </cfRule>
  </conditionalFormatting>
  <dataValidations count="3">
    <dataValidation sqref="E2:E1001" showErrorMessage="1" showDropDown="1" showInputMessage="1" allowBlank="1" type="list">
      <formula1>=Action_Type_List</formula1>
    </dataValidation>
    <dataValidation sqref="G2:G1001" showErrorMessage="1" showDropDown="1" showInputMessage="1" allowBlank="1" type="list">
      <formula1>=Mitigation_Priority_List</formula1>
    </dataValidation>
    <dataValidation sqref="I2:I1001" showErrorMessage="1" showDropDown="1" showInputMessage="1" allowBlank="1" type="list">
      <formula1>=Status_List_Actions</formula1>
    </dataValidation>
  </dataValidations>
  <pageMargins left="0.25" right="0.25" top="0.4" bottom="0.4" header="0.3" footer="0.3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Inherent Risk Heat Map (Likelihood vs Impact)</t>
        </is>
      </c>
    </row>
    <row r="2">
      <c r="B2" s="11" t="inlineStr">
        <is>
          <t>Impact →</t>
        </is>
      </c>
      <c r="C2" s="11" t="n">
        <v>1</v>
      </c>
      <c r="D2" s="11" t="n">
        <v>2</v>
      </c>
      <c r="E2" s="11" t="n">
        <v>3</v>
      </c>
      <c r="F2" s="11" t="n">
        <v>4</v>
      </c>
      <c r="G2" s="11" t="n">
        <v>5</v>
      </c>
    </row>
    <row r="3">
      <c r="A3" s="11" t="n">
        <v>5</v>
      </c>
      <c r="C3" s="12" t="n"/>
      <c r="D3" s="12" t="n"/>
      <c r="E3" s="12" t="n"/>
      <c r="F3" s="12" t="n"/>
      <c r="G3" s="12" t="n"/>
    </row>
    <row r="4">
      <c r="A4" s="11" t="n">
        <v>4</v>
      </c>
      <c r="C4" s="12" t="n"/>
      <c r="D4" s="12" t="n"/>
      <c r="E4" s="12" t="n"/>
      <c r="F4" s="12" t="n"/>
      <c r="G4" s="12" t="n"/>
    </row>
    <row r="5">
      <c r="A5" s="11" t="n">
        <v>3</v>
      </c>
      <c r="C5" s="12" t="n"/>
      <c r="D5" s="12" t="n"/>
      <c r="E5" s="12" t="n"/>
      <c r="F5" s="12" t="n"/>
      <c r="G5" s="12" t="n"/>
    </row>
    <row r="6">
      <c r="A6" s="11" t="n">
        <v>2</v>
      </c>
      <c r="C6" s="12" t="n"/>
      <c r="D6" s="12" t="n"/>
      <c r="E6" s="12" t="n"/>
      <c r="F6" s="12" t="n"/>
      <c r="G6" s="12" t="n"/>
    </row>
    <row r="7">
      <c r="A7" s="11" t="n">
        <v>1</v>
      </c>
      <c r="C7" s="12" t="n"/>
      <c r="D7" s="12" t="n"/>
      <c r="E7" s="12" t="n"/>
      <c r="F7" s="12" t="n"/>
      <c r="G7" s="12" t="n"/>
    </row>
    <row r="9">
      <c r="A9" s="13" t="inlineStr">
        <is>
          <t>Tip: Paste Risk IDs into the grid based on Likelihood (rows) and Impact (columns).</t>
        </is>
      </c>
    </row>
    <row r="12">
      <c r="A12" s="10" t="inlineStr">
        <is>
          <t>Residual Risk Heat Map (Likelihood vs Impact)</t>
        </is>
      </c>
    </row>
    <row r="13">
      <c r="B13" s="11" t="inlineStr">
        <is>
          <t>Impact →</t>
        </is>
      </c>
      <c r="C13" s="11" t="n">
        <v>1</v>
      </c>
      <c r="D13" s="11" t="n">
        <v>2</v>
      </c>
      <c r="E13" s="11" t="n">
        <v>3</v>
      </c>
      <c r="F13" s="11" t="n">
        <v>4</v>
      </c>
      <c r="G13" s="11" t="n">
        <v>5</v>
      </c>
    </row>
    <row r="14">
      <c r="A14" s="11" t="n">
        <v>5</v>
      </c>
      <c r="C14" s="12" t="n"/>
      <c r="D14" s="12" t="n"/>
      <c r="E14" s="12" t="n"/>
      <c r="F14" s="12" t="n"/>
      <c r="G14" s="12" t="n"/>
    </row>
    <row r="15">
      <c r="A15" s="11" t="n">
        <v>4</v>
      </c>
      <c r="C15" s="12" t="n"/>
      <c r="D15" s="12" t="n"/>
      <c r="E15" s="12" t="n"/>
      <c r="F15" s="12" t="n"/>
      <c r="G15" s="12" t="n"/>
    </row>
    <row r="16">
      <c r="A16" s="11" t="n">
        <v>3</v>
      </c>
      <c r="C16" s="12" t="n"/>
      <c r="D16" s="12" t="n"/>
      <c r="E16" s="12" t="n"/>
      <c r="F16" s="12" t="n"/>
      <c r="G16" s="12" t="n"/>
    </row>
    <row r="17">
      <c r="A17" s="11" t="n">
        <v>2</v>
      </c>
      <c r="C17" s="12" t="n"/>
      <c r="D17" s="12" t="n"/>
      <c r="E17" s="12" t="n"/>
      <c r="F17" s="12" t="n"/>
      <c r="G17" s="12" t="n"/>
    </row>
    <row r="18">
      <c r="A18" s="11" t="n">
        <v>1</v>
      </c>
      <c r="C18" s="12" t="n"/>
      <c r="D18" s="12" t="n"/>
      <c r="E18" s="12" t="n"/>
      <c r="F18" s="12" t="n"/>
      <c r="G18" s="12" t="n"/>
    </row>
    <row r="20">
      <c r="A20" s="13" t="inlineStr">
        <is>
          <t>Tip: Paste Risk IDs into the grid based on Likelihood (rows) and Impact (columns).</t>
        </is>
      </c>
    </row>
    <row r="23">
      <c r="A23" s="10" t="inlineStr">
        <is>
          <t>Target Risk Heat Map (Likelihood vs Impact)</t>
        </is>
      </c>
    </row>
    <row r="24">
      <c r="B24" s="11" t="inlineStr">
        <is>
          <t>Impact →</t>
        </is>
      </c>
      <c r="C24" s="11" t="n">
        <v>1</v>
      </c>
      <c r="D24" s="11" t="n">
        <v>2</v>
      </c>
      <c r="E24" s="11" t="n">
        <v>3</v>
      </c>
      <c r="F24" s="11" t="n">
        <v>4</v>
      </c>
      <c r="G24" s="11" t="n">
        <v>5</v>
      </c>
    </row>
    <row r="25">
      <c r="A25" s="11" t="n">
        <v>5</v>
      </c>
      <c r="C25" s="12" t="n"/>
      <c r="D25" s="12" t="n"/>
      <c r="E25" s="12" t="n"/>
      <c r="F25" s="12" t="n"/>
      <c r="G25" s="12" t="n"/>
    </row>
    <row r="26">
      <c r="A26" s="11" t="n">
        <v>4</v>
      </c>
      <c r="C26" s="12" t="n"/>
      <c r="D26" s="12" t="n"/>
      <c r="E26" s="12" t="n"/>
      <c r="F26" s="12" t="n"/>
      <c r="G26" s="12" t="n"/>
    </row>
    <row r="27">
      <c r="A27" s="11" t="n">
        <v>3</v>
      </c>
      <c r="C27" s="12" t="n"/>
      <c r="D27" s="12" t="n"/>
      <c r="E27" s="12" t="n"/>
      <c r="F27" s="12" t="n"/>
      <c r="G27" s="12" t="n"/>
    </row>
    <row r="28">
      <c r="A28" s="11" t="n">
        <v>2</v>
      </c>
      <c r="C28" s="12" t="n"/>
      <c r="D28" s="12" t="n"/>
      <c r="E28" s="12" t="n"/>
      <c r="F28" s="12" t="n"/>
      <c r="G28" s="12" t="n"/>
    </row>
    <row r="29">
      <c r="A29" s="11" t="n">
        <v>1</v>
      </c>
      <c r="C29" s="12" t="n"/>
      <c r="D29" s="12" t="n"/>
      <c r="E29" s="12" t="n"/>
      <c r="F29" s="12" t="n"/>
      <c r="G29" s="12" t="n"/>
    </row>
    <row r="31">
      <c r="A31" s="13" t="inlineStr">
        <is>
          <t>Tip: Paste Risk IDs into the grid based on Likelihood (rows) and Impact (columns).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G1"/>
    <mergeCell ref="A12:G12"/>
    <mergeCell ref="A23:G23"/>
  </mergeCells>
  <pageMargins left="0.25" right="0.25" top="0.4" bottom="0.4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5" customWidth="1" min="8" max="8"/>
    <col width="50" customWidth="1" min="9" max="9"/>
  </cols>
  <sheetData>
    <row r="1" ht="28" customHeight="1">
      <c r="A1" s="1" t="inlineStr">
        <is>
          <t>Risk Category</t>
        </is>
      </c>
      <c r="B1" s="1" t="inlineStr">
        <is>
          <t># of Risks</t>
        </is>
      </c>
      <c r="C1" s="1" t="inlineStr">
        <is>
          <t># Critical/High Risks</t>
        </is>
      </c>
      <c r="D1" s="1" t="inlineStr">
        <is>
          <t>Avg Inherent Risk Score</t>
        </is>
      </c>
      <c r="E1" s="1" t="inlineStr">
        <is>
          <t>Avg Residual Risk Score</t>
        </is>
      </c>
      <c r="F1" s="1" t="inlineStr">
        <is>
          <t>Risk Reduction</t>
        </is>
      </c>
      <c r="G1" s="1" t="inlineStr">
        <is>
          <t>% Risk Reduction</t>
        </is>
      </c>
      <c r="H1" s="1" t="inlineStr">
        <is>
          <t># Risks Needing Mitigation</t>
        </is>
      </c>
      <c r="I1" s="1" t="inlineStr">
        <is>
          <t>Top 3 Risks</t>
        </is>
      </c>
    </row>
    <row r="2">
      <c r="A2" t="inlineStr">
        <is>
          <t>Cybersecurity and Information Security</t>
        </is>
      </c>
      <c r="B2">
        <f>COUNTIF(Risk_Scenarios!B:B,A2)</f>
        <v/>
      </c>
      <c r="C2">
        <f>COUNTIFS(Risk_Scenarios!B:B,A2,Risk_Scenarios!P:P,"Critical")+COUNTIFS(Risk_Scenarios!B:B,A2,Risk_Scenarios!P:P,"High")</f>
        <v/>
      </c>
      <c r="D2">
        <f>AVERAGEIF(Risk_Scenarios!B:B,A2,Risk_Scenarios!I:I)</f>
        <v/>
      </c>
      <c r="E2">
        <f>AVERAGEIF(Risk_Scenarios!B:B,A2,Risk_Scenarios!O:O)</f>
        <v/>
      </c>
      <c r="F2">
        <f>D2-E2</f>
        <v/>
      </c>
      <c r="G2">
        <f>IFERROR((D2-E2)/D2*100,"")</f>
        <v/>
      </c>
      <c r="H2">
        <f>COUNTIFS(Risk_Scenarios!B:B,A2,Risk_Scenarios!U:U,"&lt;&gt;Low",Risk_Scenarios!Y:Y,"Active")</f>
        <v/>
      </c>
      <c r="I2" t="inlineStr">
        <is>
          <t>Use filter or pivot to list top risks</t>
        </is>
      </c>
    </row>
    <row r="3">
      <c r="A3" t="inlineStr">
        <is>
          <t>Operational and Technology</t>
        </is>
      </c>
      <c r="B3">
        <f>COUNTIF(Risk_Scenarios!B:B,A3)</f>
        <v/>
      </c>
      <c r="C3">
        <f>COUNTIFS(Risk_Scenarios!B:B,A3,Risk_Scenarios!P:P,"Critical")+COUNTIFS(Risk_Scenarios!B:B,A3,Risk_Scenarios!P:P,"High")</f>
        <v/>
      </c>
      <c r="D3">
        <f>AVERAGEIF(Risk_Scenarios!B:B,A3,Risk_Scenarios!I:I)</f>
        <v/>
      </c>
      <c r="E3">
        <f>AVERAGEIF(Risk_Scenarios!B:B,A3,Risk_Scenarios!O:O)</f>
        <v/>
      </c>
      <c r="F3">
        <f>D3-E3</f>
        <v/>
      </c>
      <c r="G3">
        <f>IFERROR((D3-E3)/D3*100,"")</f>
        <v/>
      </c>
      <c r="H3">
        <f>COUNTIFS(Risk_Scenarios!B:B,A3,Risk_Scenarios!U:U,"&lt;&gt;Low",Risk_Scenarios!Y:Y,"Active")</f>
        <v/>
      </c>
      <c r="I3" t="inlineStr">
        <is>
          <t>Use filter or pivot to list top risks</t>
        </is>
      </c>
    </row>
    <row r="4">
      <c r="A4" t="inlineStr">
        <is>
          <t>Compliance and Regulatory</t>
        </is>
      </c>
      <c r="B4">
        <f>COUNTIF(Risk_Scenarios!B:B,A4)</f>
        <v/>
      </c>
      <c r="C4">
        <f>COUNTIFS(Risk_Scenarios!B:B,A4,Risk_Scenarios!P:P,"Critical")+COUNTIFS(Risk_Scenarios!B:B,A4,Risk_Scenarios!P:P,"High")</f>
        <v/>
      </c>
      <c r="D4">
        <f>AVERAGEIF(Risk_Scenarios!B:B,A4,Risk_Scenarios!I:I)</f>
        <v/>
      </c>
      <c r="E4">
        <f>AVERAGEIF(Risk_Scenarios!B:B,A4,Risk_Scenarios!O:O)</f>
        <v/>
      </c>
      <c r="F4">
        <f>D4-E4</f>
        <v/>
      </c>
      <c r="G4">
        <f>IFERROR((D4-E4)/D4*100,"")</f>
        <v/>
      </c>
      <c r="H4">
        <f>COUNTIFS(Risk_Scenarios!B:B,A4,Risk_Scenarios!U:U,"&lt;&gt;Low",Risk_Scenarios!Y:Y,"Active")</f>
        <v/>
      </c>
      <c r="I4" t="inlineStr">
        <is>
          <t>Use filter or pivot to list top risks</t>
        </is>
      </c>
    </row>
    <row r="5">
      <c r="A5" t="inlineStr">
        <is>
          <t>Third-Party and Vendor</t>
        </is>
      </c>
      <c r="B5">
        <f>COUNTIF(Risk_Scenarios!B:B,A5)</f>
        <v/>
      </c>
      <c r="C5">
        <f>COUNTIFS(Risk_Scenarios!B:B,A5,Risk_Scenarios!P:P,"Critical")+COUNTIFS(Risk_Scenarios!B:B,A5,Risk_Scenarios!P:P,"High")</f>
        <v/>
      </c>
      <c r="D5">
        <f>AVERAGEIF(Risk_Scenarios!B:B,A5,Risk_Scenarios!I:I)</f>
        <v/>
      </c>
      <c r="E5">
        <f>AVERAGEIF(Risk_Scenarios!B:B,A5,Risk_Scenarios!O:O)</f>
        <v/>
      </c>
      <c r="F5">
        <f>D5-E5</f>
        <v/>
      </c>
      <c r="G5">
        <f>IFERROR((D5-E5)/D5*100,"")</f>
        <v/>
      </c>
      <c r="H5">
        <f>COUNTIFS(Risk_Scenarios!B:B,A5,Risk_Scenarios!U:U,"&lt;&gt;Low",Risk_Scenarios!Y:Y,"Active")</f>
        <v/>
      </c>
      <c r="I5" t="inlineStr">
        <is>
          <t>Use filter or pivot to list top risks</t>
        </is>
      </c>
    </row>
    <row r="6">
      <c r="A6" t="inlineStr">
        <is>
          <t>Business Continuity and Disaster Recovery</t>
        </is>
      </c>
      <c r="B6">
        <f>COUNTIF(Risk_Scenarios!B:B,A6)</f>
        <v/>
      </c>
      <c r="C6">
        <f>COUNTIFS(Risk_Scenarios!B:B,A6,Risk_Scenarios!P:P,"Critical")+COUNTIFS(Risk_Scenarios!B:B,A6,Risk_Scenarios!P:P,"High")</f>
        <v/>
      </c>
      <c r="D6">
        <f>AVERAGEIF(Risk_Scenarios!B:B,A6,Risk_Scenarios!I:I)</f>
        <v/>
      </c>
      <c r="E6">
        <f>AVERAGEIF(Risk_Scenarios!B:B,A6,Risk_Scenarios!O:O)</f>
        <v/>
      </c>
      <c r="F6">
        <f>D6-E6</f>
        <v/>
      </c>
      <c r="G6">
        <f>IFERROR((D6-E6)/D6*100,"")</f>
        <v/>
      </c>
      <c r="H6">
        <f>COUNTIFS(Risk_Scenarios!B:B,A6,Risk_Scenarios!U:U,"&lt;&gt;Low",Risk_Scenarios!Y:Y,"Active")</f>
        <v/>
      </c>
      <c r="I6" t="inlineStr">
        <is>
          <t>Use filter or pivot to list top risks</t>
        </is>
      </c>
    </row>
    <row r="7">
      <c r="A7" t="inlineStr">
        <is>
          <t>Human Capital and Insider</t>
        </is>
      </c>
      <c r="B7">
        <f>COUNTIF(Risk_Scenarios!B:B,A7)</f>
        <v/>
      </c>
      <c r="C7">
        <f>COUNTIFS(Risk_Scenarios!B:B,A7,Risk_Scenarios!P:P,"Critical")+COUNTIFS(Risk_Scenarios!B:B,A7,Risk_Scenarios!P:P,"High")</f>
        <v/>
      </c>
      <c r="D7">
        <f>AVERAGEIF(Risk_Scenarios!B:B,A7,Risk_Scenarios!I:I)</f>
        <v/>
      </c>
      <c r="E7">
        <f>AVERAGEIF(Risk_Scenarios!B:B,A7,Risk_Scenarios!O:O)</f>
        <v/>
      </c>
      <c r="F7">
        <f>D7-E7</f>
        <v/>
      </c>
      <c r="G7">
        <f>IFERROR((D7-E7)/D7*100,"")</f>
        <v/>
      </c>
      <c r="H7">
        <f>COUNTIFS(Risk_Scenarios!B:B,A7,Risk_Scenarios!U:U,"&lt;&gt;Low",Risk_Scenarios!Y:Y,"Active")</f>
        <v/>
      </c>
      <c r="I7" t="inlineStr">
        <is>
          <t>Use filter or pivot to list top risks</t>
        </is>
      </c>
    </row>
    <row r="8">
      <c r="A8" t="inlineStr">
        <is>
          <t>Financial and Fraud</t>
        </is>
      </c>
      <c r="B8">
        <f>COUNTIF(Risk_Scenarios!B:B,A8)</f>
        <v/>
      </c>
      <c r="C8">
        <f>COUNTIFS(Risk_Scenarios!B:B,A8,Risk_Scenarios!P:P,"Critical")+COUNTIFS(Risk_Scenarios!B:B,A8,Risk_Scenarios!P:P,"High")</f>
        <v/>
      </c>
      <c r="D8">
        <f>AVERAGEIF(Risk_Scenarios!B:B,A8,Risk_Scenarios!I:I)</f>
        <v/>
      </c>
      <c r="E8">
        <f>AVERAGEIF(Risk_Scenarios!B:B,A8,Risk_Scenarios!O:O)</f>
        <v/>
      </c>
      <c r="F8">
        <f>D8-E8</f>
        <v/>
      </c>
      <c r="G8">
        <f>IFERROR((D8-E8)/D8*100,"")</f>
        <v/>
      </c>
      <c r="H8">
        <f>COUNTIFS(Risk_Scenarios!B:B,A8,Risk_Scenarios!U:U,"&lt;&gt;Low",Risk_Scenarios!Y:Y,"Active")</f>
        <v/>
      </c>
      <c r="I8" t="inlineStr">
        <is>
          <t>Use filter or pivot to list top risks</t>
        </is>
      </c>
    </row>
    <row r="9">
      <c r="A9" t="inlineStr">
        <is>
          <t>Reputational and Brand</t>
        </is>
      </c>
      <c r="B9">
        <f>COUNTIF(Risk_Scenarios!B:B,A9)</f>
        <v/>
      </c>
      <c r="C9">
        <f>COUNTIFS(Risk_Scenarios!B:B,A9,Risk_Scenarios!P:P,"Critical")+COUNTIFS(Risk_Scenarios!B:B,A9,Risk_Scenarios!P:P,"High")</f>
        <v/>
      </c>
      <c r="D9">
        <f>AVERAGEIF(Risk_Scenarios!B:B,A9,Risk_Scenarios!I:I)</f>
        <v/>
      </c>
      <c r="E9">
        <f>AVERAGEIF(Risk_Scenarios!B:B,A9,Risk_Scenarios!O:O)</f>
        <v/>
      </c>
      <c r="F9">
        <f>D9-E9</f>
        <v/>
      </c>
      <c r="G9">
        <f>IFERROR((D9-E9)/D9*100,"")</f>
        <v/>
      </c>
      <c r="H9">
        <f>COUNTIFS(Risk_Scenarios!B:B,A9,Risk_Scenarios!U:U,"&lt;&gt;Low",Risk_Scenarios!Y:Y,"Active")</f>
        <v/>
      </c>
      <c r="I9" t="inlineStr">
        <is>
          <t>Use filter or pivot to list top risks</t>
        </is>
      </c>
    </row>
    <row r="10">
      <c r="A10" t="inlineStr">
        <is>
          <t>Strategic and Market</t>
        </is>
      </c>
      <c r="B10">
        <f>COUNTIF(Risk_Scenarios!B:B,A10)</f>
        <v/>
      </c>
      <c r="C10">
        <f>COUNTIFS(Risk_Scenarios!B:B,A10,Risk_Scenarios!P:P,"Critical")+COUNTIFS(Risk_Scenarios!B:B,A10,Risk_Scenarios!P:P,"High")</f>
        <v/>
      </c>
      <c r="D10">
        <f>AVERAGEIF(Risk_Scenarios!B:B,A10,Risk_Scenarios!I:I)</f>
        <v/>
      </c>
      <c r="E10">
        <f>AVERAGEIF(Risk_Scenarios!B:B,A10,Risk_Scenarios!O:O)</f>
        <v/>
      </c>
      <c r="F10">
        <f>D10-E10</f>
        <v/>
      </c>
      <c r="G10">
        <f>IFERROR((D10-E10)/D10*100,"")</f>
        <v/>
      </c>
      <c r="H10">
        <f>COUNTIFS(Risk_Scenarios!B:B,A10,Risk_Scenarios!U:U,"&lt;&gt;Low",Risk_Scenarios!Y:Y,"Active")</f>
        <v/>
      </c>
      <c r="I10" t="inlineStr">
        <is>
          <t>Use filter or pivot to list top risks</t>
        </is>
      </c>
    </row>
    <row r="11">
      <c r="A11" t="inlineStr">
        <is>
          <t>Physical and Environmental</t>
        </is>
      </c>
      <c r="B11">
        <f>COUNTIF(Risk_Scenarios!B:B,A11)</f>
        <v/>
      </c>
      <c r="C11">
        <f>COUNTIFS(Risk_Scenarios!B:B,A11,Risk_Scenarios!P:P,"Critical")+COUNTIFS(Risk_Scenarios!B:B,A11,Risk_Scenarios!P:P,"High")</f>
        <v/>
      </c>
      <c r="D11">
        <f>AVERAGEIF(Risk_Scenarios!B:B,A11,Risk_Scenarios!I:I)</f>
        <v/>
      </c>
      <c r="E11">
        <f>AVERAGEIF(Risk_Scenarios!B:B,A11,Risk_Scenarios!O:O)</f>
        <v/>
      </c>
      <c r="F11">
        <f>D11-E11</f>
        <v/>
      </c>
      <c r="G11">
        <f>IFERROR((D11-E11)/D11*100,"")</f>
        <v/>
      </c>
      <c r="H11">
        <f>COUNTIFS(Risk_Scenarios!B:B,A11,Risk_Scenarios!U:U,"&lt;&gt;Low",Risk_Scenarios!Y:Y,"Active")</f>
        <v/>
      </c>
      <c r="I11" t="inlineStr">
        <is>
          <t>Use filter or pivot to list top risks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Executive Risk Dashboard</t>
        </is>
      </c>
    </row>
    <row r="2">
      <c r="A2" s="15" t="inlineStr">
        <is>
          <t>Metric</t>
        </is>
      </c>
      <c r="B2" s="15" t="inlineStr">
        <is>
          <t>Value</t>
        </is>
      </c>
      <c r="D2" t="inlineStr">
        <is>
          <t>Severity</t>
        </is>
      </c>
      <c r="E2" t="inlineStr">
        <is>
          <t>Count</t>
        </is>
      </c>
      <c r="G2" t="inlineStr">
        <is>
          <t>Category</t>
        </is>
      </c>
      <c r="H2" t="inlineStr">
        <is>
          <t>Count</t>
        </is>
      </c>
      <c r="J2" t="inlineStr">
        <is>
          <t>Metric</t>
        </is>
      </c>
      <c r="K2" t="inlineStr">
        <is>
          <t>Score</t>
        </is>
      </c>
    </row>
    <row r="3">
      <c r="A3" t="inlineStr">
        <is>
          <t>Total Risks Identified</t>
        </is>
      </c>
      <c r="B3">
        <f>COUNTA(Risk_Scenarios!A:A)-1</f>
        <v/>
      </c>
      <c r="D3" t="inlineStr">
        <is>
          <t>Critical</t>
        </is>
      </c>
      <c r="E3">
        <f>B3</f>
        <v/>
      </c>
      <c r="G3" t="inlineStr">
        <is>
          <t>Cybersecurity and Information Security</t>
        </is>
      </c>
      <c r="H3">
        <f>COUNTIF(Risk_Scenarios!B:B,"Cybersecurity and Information Security")</f>
        <v/>
      </c>
      <c r="J3" t="inlineStr">
        <is>
          <t>Avg Inherent</t>
        </is>
      </c>
      <c r="K3">
        <f>B13</f>
        <v/>
      </c>
    </row>
    <row r="4">
      <c r="A4" t="inlineStr">
        <is>
          <t>Critical Risks (20-25)</t>
        </is>
      </c>
      <c r="B4">
        <f>COUNTIF(Risk_Scenarios!O:O,"&gt;=20")</f>
        <v/>
      </c>
      <c r="D4" t="inlineStr">
        <is>
          <t>High</t>
        </is>
      </c>
      <c r="E4">
        <f>B4</f>
        <v/>
      </c>
      <c r="G4" t="inlineStr">
        <is>
          <t>Operational and Technology</t>
        </is>
      </c>
      <c r="H4">
        <f>COUNTIF(Risk_Scenarios!B:B,"Operational and Technology")</f>
        <v/>
      </c>
      <c r="J4" t="inlineStr">
        <is>
          <t>Avg Residual</t>
        </is>
      </c>
      <c r="K4">
        <f>B14</f>
        <v/>
      </c>
    </row>
    <row r="5">
      <c r="A5" t="inlineStr">
        <is>
          <t>High Risks (15-19)</t>
        </is>
      </c>
      <c r="B5">
        <f>COUNTIFS(Risk_Scenarios!O:O,"&gt;=15",Risk_Scenarios!O:O,"&lt;20")</f>
        <v/>
      </c>
      <c r="D5" t="inlineStr">
        <is>
          <t>Medium</t>
        </is>
      </c>
      <c r="E5">
        <f>B5</f>
        <v/>
      </c>
      <c r="G5" t="inlineStr">
        <is>
          <t>Compliance and Regulatory</t>
        </is>
      </c>
      <c r="H5">
        <f>COUNTIF(Risk_Scenarios!B:B,"Compliance and Regulatory")</f>
        <v/>
      </c>
    </row>
    <row r="6">
      <c r="A6" t="inlineStr">
        <is>
          <t>Medium Risks (10-14)</t>
        </is>
      </c>
      <c r="B6">
        <f>COUNTIFS(Risk_Scenarios!O:O,"&gt;=10",Risk_Scenarios!O:O,"&lt;15")</f>
        <v/>
      </c>
      <c r="D6" t="inlineStr">
        <is>
          <t>Low</t>
        </is>
      </c>
      <c r="E6">
        <f>B6</f>
        <v/>
      </c>
      <c r="G6" t="inlineStr">
        <is>
          <t>Third-Party and Vendor</t>
        </is>
      </c>
      <c r="H6">
        <f>COUNTIF(Risk_Scenarios!B:B,"Third-Party and Vendor")</f>
        <v/>
      </c>
    </row>
    <row r="7">
      <c r="A7" t="inlineStr">
        <is>
          <t>Low Risks (1-9)</t>
        </is>
      </c>
      <c r="B7">
        <f>COUNTIF(Risk_Scenarios!O:O,"&lt;10")</f>
        <v/>
      </c>
      <c r="G7" t="inlineStr">
        <is>
          <t>Business Continuity and Disaster Recovery</t>
        </is>
      </c>
      <c r="H7">
        <f>COUNTIF(Risk_Scenarios!B:B,"Business Continuity and Disaster Recovery")</f>
        <v/>
      </c>
    </row>
    <row r="8">
      <c r="A8" t="inlineStr">
        <is>
          <t>Total Mitigation Actions</t>
        </is>
      </c>
      <c r="B8">
        <f>COUNTA(Mitigation_Actions!A:A)-1</f>
        <v/>
      </c>
      <c r="G8" t="inlineStr">
        <is>
          <t>Human Capital and Insider</t>
        </is>
      </c>
      <c r="H8">
        <f>COUNTIF(Risk_Scenarios!B:B,"Human Capital and Insider")</f>
        <v/>
      </c>
    </row>
    <row r="9">
      <c r="A9" t="inlineStr">
        <is>
          <t>Actions Complete</t>
        </is>
      </c>
      <c r="B9">
        <f>COUNTIF(Mitigation_Actions!I:I,"Complete")</f>
        <v/>
      </c>
      <c r="G9" t="inlineStr">
        <is>
          <t>Financial and Fraud</t>
        </is>
      </c>
      <c r="H9">
        <f>COUNTIF(Risk_Scenarios!B:B,"Financial and Fraud")</f>
        <v/>
      </c>
    </row>
    <row r="10">
      <c r="A10" t="inlineStr">
        <is>
          <t>Actions In Progress</t>
        </is>
      </c>
      <c r="B10">
        <f>COUNTIF(Mitigation_Actions!I:I,"In Progress")</f>
        <v/>
      </c>
      <c r="G10" t="inlineStr">
        <is>
          <t>Reputational and Brand</t>
        </is>
      </c>
      <c r="H10">
        <f>COUNTIF(Risk_Scenarios!B:B,"Reputational and Brand")</f>
        <v/>
      </c>
    </row>
    <row r="11">
      <c r="A11" t="inlineStr">
        <is>
          <t>Actions Not Started</t>
        </is>
      </c>
      <c r="B11">
        <f>COUNTIF(Mitigation_Actions!I:I,"Not Started")</f>
        <v/>
      </c>
      <c r="G11" t="inlineStr">
        <is>
          <t>Strategic and Market</t>
        </is>
      </c>
      <c r="H11">
        <f>COUNTIF(Risk_Scenarios!B:B,"Strategic and Market")</f>
        <v/>
      </c>
    </row>
    <row r="12">
      <c r="A12" t="inlineStr">
        <is>
          <t>Actions Overdue</t>
        </is>
      </c>
      <c r="B12">
        <f>COUNTIFS(Mitigation_Actions!H:H,"&lt;"&amp;TODAY(),Mitigation_Actions!I:I,"&lt;&gt;Complete")</f>
        <v/>
      </c>
      <c r="G12" t="inlineStr">
        <is>
          <t>Physical and Environmental</t>
        </is>
      </c>
      <c r="H12">
        <f>COUNTIF(Risk_Scenarios!B:B,"Physical and Environmental")</f>
        <v/>
      </c>
    </row>
    <row r="13">
      <c r="A13" t="inlineStr">
        <is>
          <t>% Mitigation Complete</t>
        </is>
      </c>
      <c r="B13" s="16">
        <f>IFERROR(B10/B9*100,"")</f>
        <v/>
      </c>
    </row>
    <row r="14">
      <c r="A14" t="inlineStr">
        <is>
          <t>Avg Inherent Risk Score</t>
        </is>
      </c>
      <c r="B14" s="16">
        <f>AVERAGE(Risk_Scenarios!I:I)</f>
        <v/>
      </c>
    </row>
    <row r="15">
      <c r="A15" t="inlineStr">
        <is>
          <t>Avg Residual Risk Score</t>
        </is>
      </c>
      <c r="B15" s="16">
        <f>AVERAGE(Risk_Scenarios!O:O)</f>
        <v/>
      </c>
    </row>
    <row r="16">
      <c r="A16" t="inlineStr">
        <is>
          <t>Avg Risk Reduction</t>
        </is>
      </c>
      <c r="B16" s="16">
        <f>B13-B14</f>
        <v/>
      </c>
    </row>
    <row r="17">
      <c r="A17" t="inlineStr">
        <is>
          <t>Risks Reviewed This Quarter</t>
        </is>
      </c>
      <c r="B17">
        <f>COUNTIFS(Risk_Scenarios!W:W,"&gt;="&amp;EOMONTH(TODAY(),-3)+1)</f>
        <v/>
      </c>
    </row>
    <row r="18">
      <c r="A18" t="inlineStr">
        <is>
          <t>Risks Overdue for Review</t>
        </is>
      </c>
      <c r="B18">
        <f>COUNTIF(Risk_Scenarios!X:X,"&lt;"&amp;TODAY())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50" customWidth="1" min="8" max="8"/>
    <col width="20" customWidth="1" min="9" max="9"/>
  </cols>
  <sheetData>
    <row r="1" ht="28" customHeight="1">
      <c r="A1" s="1" t="inlineStr">
        <is>
          <t>Risk ID</t>
        </is>
      </c>
      <c r="B1" s="1" t="inlineStr">
        <is>
          <t>Assessment Date</t>
        </is>
      </c>
      <c r="C1" s="1" t="inlineStr">
        <is>
          <t>Assessment Period</t>
        </is>
      </c>
      <c r="D1" s="1" t="inlineStr">
        <is>
          <t>Likelihood (Residual)</t>
        </is>
      </c>
      <c r="E1" s="1" t="inlineStr">
        <is>
          <t>Impact (Residual)</t>
        </is>
      </c>
      <c r="F1" s="1" t="inlineStr">
        <is>
          <t>Residual Risk Score</t>
        </is>
      </c>
      <c r="G1" s="1" t="inlineStr">
        <is>
          <t>Risk Rating</t>
        </is>
      </c>
      <c r="H1" s="1" t="inlineStr">
        <is>
          <t>Changes Since Last Assessment</t>
        </is>
      </c>
      <c r="I1" s="1" t="inlineStr">
        <is>
          <t>Assessor</t>
        </is>
      </c>
    </row>
    <row r="2">
      <c r="B2" s="6" t="n"/>
      <c r="F2">
        <f>D2*E2</f>
        <v/>
      </c>
      <c r="G2">
        <f>IF($F2&gt;=20,"Critical",IF($F2&gt;=15,"High",IF($F2&gt;=10,"Medium",IF($F2&gt;=5,"Low",IF($F2&gt;0,"Very Low","")))))</f>
        <v/>
      </c>
      <c r="H2" s="5" t="n"/>
    </row>
    <row r="3">
      <c r="B3" s="6" t="n"/>
      <c r="F3">
        <f>D3*E3</f>
        <v/>
      </c>
      <c r="G3">
        <f>IF($F3&gt;=20,"Critical",IF($F3&gt;=15,"High",IF($F3&gt;=10,"Medium",IF($F3&gt;=5,"Low",IF($F3&gt;0,"Very Low","")))))</f>
        <v/>
      </c>
      <c r="H3" s="5" t="n"/>
    </row>
    <row r="4">
      <c r="B4" s="6" t="n"/>
      <c r="F4">
        <f>D4*E4</f>
        <v/>
      </c>
      <c r="G4">
        <f>IF($F4&gt;=20,"Critical",IF($F4&gt;=15,"High",IF($F4&gt;=10,"Medium",IF($F4&gt;=5,"Low",IF($F4&gt;0,"Very Low","")))))</f>
        <v/>
      </c>
      <c r="H4" s="5" t="n"/>
    </row>
    <row r="5">
      <c r="B5" s="6" t="n"/>
      <c r="F5">
        <f>D5*E5</f>
        <v/>
      </c>
      <c r="G5">
        <f>IF($F5&gt;=20,"Critical",IF($F5&gt;=15,"High",IF($F5&gt;=10,"Medium",IF($F5&gt;=5,"Low",IF($F5&gt;0,"Very Low","")))))</f>
        <v/>
      </c>
      <c r="H5" s="5" t="n"/>
    </row>
    <row r="6">
      <c r="B6" s="6" t="n"/>
      <c r="F6">
        <f>D6*E6</f>
        <v/>
      </c>
      <c r="G6">
        <f>IF($F6&gt;=20,"Critical",IF($F6&gt;=15,"High",IF($F6&gt;=10,"Medium",IF($F6&gt;=5,"Low",IF($F6&gt;0,"Very Low","")))))</f>
        <v/>
      </c>
      <c r="H6" s="5" t="n"/>
    </row>
    <row r="7">
      <c r="B7" s="6" t="n"/>
      <c r="F7">
        <f>D7*E7</f>
        <v/>
      </c>
      <c r="G7">
        <f>IF($F7&gt;=20,"Critical",IF($F7&gt;=15,"High",IF($F7&gt;=10,"Medium",IF($F7&gt;=5,"Low",IF($F7&gt;0,"Very Low","")))))</f>
        <v/>
      </c>
      <c r="H7" s="5" t="n"/>
    </row>
    <row r="8">
      <c r="B8" s="6" t="n"/>
      <c r="F8">
        <f>D8*E8</f>
        <v/>
      </c>
      <c r="G8">
        <f>IF($F8&gt;=20,"Critical",IF($F8&gt;=15,"High",IF($F8&gt;=10,"Medium",IF($F8&gt;=5,"Low",IF($F8&gt;0,"Very Low","")))))</f>
        <v/>
      </c>
      <c r="H8" s="5" t="n"/>
    </row>
    <row r="9">
      <c r="B9" s="6" t="n"/>
      <c r="F9">
        <f>D9*E9</f>
        <v/>
      </c>
      <c r="G9">
        <f>IF($F9&gt;=20,"Critical",IF($F9&gt;=15,"High",IF($F9&gt;=10,"Medium",IF($F9&gt;=5,"Low",IF($F9&gt;0,"Very Low","")))))</f>
        <v/>
      </c>
      <c r="H9" s="5" t="n"/>
    </row>
    <row r="10">
      <c r="B10" s="6" t="n"/>
      <c r="F10">
        <f>D10*E10</f>
        <v/>
      </c>
      <c r="G10">
        <f>IF($F10&gt;=20,"Critical",IF($F10&gt;=15,"High",IF($F10&gt;=10,"Medium",IF($F10&gt;=5,"Low",IF($F10&gt;0,"Very Low","")))))</f>
        <v/>
      </c>
      <c r="H10" s="5" t="n"/>
    </row>
    <row r="11">
      <c r="B11" s="6" t="n"/>
      <c r="F11">
        <f>D11*E11</f>
        <v/>
      </c>
      <c r="G11">
        <f>IF($F11&gt;=20,"Critical",IF($F11&gt;=15,"High",IF($F11&gt;=10,"Medium",IF($F11&gt;=5,"Low",IF($F11&gt;0,"Very Low","")))))</f>
        <v/>
      </c>
      <c r="H11" s="5" t="n"/>
    </row>
    <row r="12">
      <c r="B12" s="6" t="n"/>
      <c r="F12">
        <f>D12*E12</f>
        <v/>
      </c>
      <c r="G12">
        <f>IF($F12&gt;=20,"Critical",IF($F12&gt;=15,"High",IF($F12&gt;=10,"Medium",IF($F12&gt;=5,"Low",IF($F12&gt;0,"Very Low","")))))</f>
        <v/>
      </c>
      <c r="H12" s="5" t="n"/>
    </row>
    <row r="13">
      <c r="B13" s="6" t="n"/>
      <c r="F13">
        <f>D13*E13</f>
        <v/>
      </c>
      <c r="G13">
        <f>IF($F13&gt;=20,"Critical",IF($F13&gt;=15,"High",IF($F13&gt;=10,"Medium",IF($F13&gt;=5,"Low",IF($F13&gt;0,"Very Low","")))))</f>
        <v/>
      </c>
      <c r="H13" s="5" t="n"/>
    </row>
    <row r="14">
      <c r="B14" s="6" t="n"/>
      <c r="F14">
        <f>D14*E14</f>
        <v/>
      </c>
      <c r="G14">
        <f>IF($F14&gt;=20,"Critical",IF($F14&gt;=15,"High",IF($F14&gt;=10,"Medium",IF($F14&gt;=5,"Low",IF($F14&gt;0,"Very Low","")))))</f>
        <v/>
      </c>
      <c r="H14" s="5" t="n"/>
    </row>
    <row r="15">
      <c r="B15" s="6" t="n"/>
      <c r="F15">
        <f>D15*E15</f>
        <v/>
      </c>
      <c r="G15">
        <f>IF($F15&gt;=20,"Critical",IF($F15&gt;=15,"High",IF($F15&gt;=10,"Medium",IF($F15&gt;=5,"Low",IF($F15&gt;0,"Very Low","")))))</f>
        <v/>
      </c>
      <c r="H15" s="5" t="n"/>
    </row>
    <row r="16">
      <c r="B16" s="6" t="n"/>
      <c r="F16">
        <f>D16*E16</f>
        <v/>
      </c>
      <c r="G16">
        <f>IF($F16&gt;=20,"Critical",IF($F16&gt;=15,"High",IF($F16&gt;=10,"Medium",IF($F16&gt;=5,"Low",IF($F16&gt;0,"Very Low","")))))</f>
        <v/>
      </c>
      <c r="H16" s="5" t="n"/>
    </row>
    <row r="17">
      <c r="B17" s="6" t="n"/>
      <c r="F17">
        <f>D17*E17</f>
        <v/>
      </c>
      <c r="G17">
        <f>IF($F17&gt;=20,"Critical",IF($F17&gt;=15,"High",IF($F17&gt;=10,"Medium",IF($F17&gt;=5,"Low",IF($F17&gt;0,"Very Low","")))))</f>
        <v/>
      </c>
      <c r="H17" s="5" t="n"/>
    </row>
    <row r="18">
      <c r="B18" s="6" t="n"/>
      <c r="F18">
        <f>D18*E18</f>
        <v/>
      </c>
      <c r="G18">
        <f>IF($F18&gt;=20,"Critical",IF($F18&gt;=15,"High",IF($F18&gt;=10,"Medium",IF($F18&gt;=5,"Low",IF($F18&gt;0,"Very Low","")))))</f>
        <v/>
      </c>
      <c r="H18" s="5" t="n"/>
    </row>
    <row r="19">
      <c r="B19" s="6" t="n"/>
      <c r="F19">
        <f>D19*E19</f>
        <v/>
      </c>
      <c r="G19">
        <f>IF($F19&gt;=20,"Critical",IF($F19&gt;=15,"High",IF($F19&gt;=10,"Medium",IF($F19&gt;=5,"Low",IF($F19&gt;0,"Very Low","")))))</f>
        <v/>
      </c>
      <c r="H19" s="5" t="n"/>
    </row>
    <row r="20">
      <c r="B20" s="6" t="n"/>
      <c r="F20">
        <f>D20*E20</f>
        <v/>
      </c>
      <c r="G20">
        <f>IF($F20&gt;=20,"Critical",IF($F20&gt;=15,"High",IF($F20&gt;=10,"Medium",IF($F20&gt;=5,"Low",IF($F20&gt;0,"Very Low","")))))</f>
        <v/>
      </c>
      <c r="H20" s="5" t="n"/>
    </row>
    <row r="21">
      <c r="B21" s="6" t="n"/>
      <c r="F21">
        <f>D21*E21</f>
        <v/>
      </c>
      <c r="G21">
        <f>IF($F21&gt;=20,"Critical",IF($F21&gt;=15,"High",IF($F21&gt;=10,"Medium",IF($F21&gt;=5,"Low",IF($F21&gt;0,"Very Low","")))))</f>
        <v/>
      </c>
      <c r="H21" s="5" t="n"/>
    </row>
    <row r="22">
      <c r="B22" s="6" t="n"/>
      <c r="F22">
        <f>D22*E22</f>
        <v/>
      </c>
      <c r="G22">
        <f>IF($F22&gt;=20,"Critical",IF($F22&gt;=15,"High",IF($F22&gt;=10,"Medium",IF($F22&gt;=5,"Low",IF($F22&gt;0,"Very Low","")))))</f>
        <v/>
      </c>
      <c r="H22" s="5" t="n"/>
    </row>
    <row r="23">
      <c r="B23" s="6" t="n"/>
      <c r="F23">
        <f>D23*E23</f>
        <v/>
      </c>
      <c r="G23">
        <f>IF($F23&gt;=20,"Critical",IF($F23&gt;=15,"High",IF($F23&gt;=10,"Medium",IF($F23&gt;=5,"Low",IF($F23&gt;0,"Very Low","")))))</f>
        <v/>
      </c>
      <c r="H23" s="5" t="n"/>
    </row>
    <row r="24">
      <c r="B24" s="6" t="n"/>
      <c r="F24">
        <f>D24*E24</f>
        <v/>
      </c>
      <c r="G24">
        <f>IF($F24&gt;=20,"Critical",IF($F24&gt;=15,"High",IF($F24&gt;=10,"Medium",IF($F24&gt;=5,"Low",IF($F24&gt;0,"Very Low","")))))</f>
        <v/>
      </c>
      <c r="H24" s="5" t="n"/>
    </row>
    <row r="25">
      <c r="B25" s="6" t="n"/>
      <c r="F25">
        <f>D25*E25</f>
        <v/>
      </c>
      <c r="G25">
        <f>IF($F25&gt;=20,"Critical",IF($F25&gt;=15,"High",IF($F25&gt;=10,"Medium",IF($F25&gt;=5,"Low",IF($F25&gt;0,"Very Low","")))))</f>
        <v/>
      </c>
      <c r="H25" s="5" t="n"/>
    </row>
    <row r="26">
      <c r="B26" s="6" t="n"/>
      <c r="F26">
        <f>D26*E26</f>
        <v/>
      </c>
      <c r="G26">
        <f>IF($F26&gt;=20,"Critical",IF($F26&gt;=15,"High",IF($F26&gt;=10,"Medium",IF($F26&gt;=5,"Low",IF($F26&gt;0,"Very Low","")))))</f>
        <v/>
      </c>
      <c r="H26" s="5" t="n"/>
    </row>
    <row r="27">
      <c r="B27" s="6" t="n"/>
      <c r="F27">
        <f>D27*E27</f>
        <v/>
      </c>
      <c r="G27">
        <f>IF($F27&gt;=20,"Critical",IF($F27&gt;=15,"High",IF($F27&gt;=10,"Medium",IF($F27&gt;=5,"Low",IF($F27&gt;0,"Very Low","")))))</f>
        <v/>
      </c>
      <c r="H27" s="5" t="n"/>
    </row>
    <row r="28">
      <c r="B28" s="6" t="n"/>
      <c r="F28">
        <f>D28*E28</f>
        <v/>
      </c>
      <c r="G28">
        <f>IF($F28&gt;=20,"Critical",IF($F28&gt;=15,"High",IF($F28&gt;=10,"Medium",IF($F28&gt;=5,"Low",IF($F28&gt;0,"Very Low","")))))</f>
        <v/>
      </c>
      <c r="H28" s="5" t="n"/>
    </row>
    <row r="29">
      <c r="B29" s="6" t="n"/>
      <c r="F29">
        <f>D29*E29</f>
        <v/>
      </c>
      <c r="G29">
        <f>IF($F29&gt;=20,"Critical",IF($F29&gt;=15,"High",IF($F29&gt;=10,"Medium",IF($F29&gt;=5,"Low",IF($F29&gt;0,"Very Low","")))))</f>
        <v/>
      </c>
      <c r="H29" s="5" t="n"/>
    </row>
    <row r="30">
      <c r="B30" s="6" t="n"/>
      <c r="F30">
        <f>D30*E30</f>
        <v/>
      </c>
      <c r="G30">
        <f>IF($F30&gt;=20,"Critical",IF($F30&gt;=15,"High",IF($F30&gt;=10,"Medium",IF($F30&gt;=5,"Low",IF($F30&gt;0,"Very Low","")))))</f>
        <v/>
      </c>
      <c r="H30" s="5" t="n"/>
    </row>
    <row r="31">
      <c r="B31" s="6" t="n"/>
      <c r="F31">
        <f>D31*E31</f>
        <v/>
      </c>
      <c r="G31">
        <f>IF($F31&gt;=20,"Critical",IF($F31&gt;=15,"High",IF($F31&gt;=10,"Medium",IF($F31&gt;=5,"Low",IF($F31&gt;0,"Very Low","")))))</f>
        <v/>
      </c>
      <c r="H31" s="5" t="n"/>
    </row>
    <row r="32">
      <c r="B32" s="6" t="n"/>
      <c r="F32">
        <f>D32*E32</f>
        <v/>
      </c>
      <c r="G32">
        <f>IF($F32&gt;=20,"Critical",IF($F32&gt;=15,"High",IF($F32&gt;=10,"Medium",IF($F32&gt;=5,"Low",IF($F32&gt;0,"Very Low","")))))</f>
        <v/>
      </c>
      <c r="H32" s="5" t="n"/>
    </row>
    <row r="33">
      <c r="B33" s="6" t="n"/>
      <c r="F33">
        <f>D33*E33</f>
        <v/>
      </c>
      <c r="G33">
        <f>IF($F33&gt;=20,"Critical",IF($F33&gt;=15,"High",IF($F33&gt;=10,"Medium",IF($F33&gt;=5,"Low",IF($F33&gt;0,"Very Low","")))))</f>
        <v/>
      </c>
      <c r="H33" s="5" t="n"/>
    </row>
    <row r="34">
      <c r="B34" s="6" t="n"/>
      <c r="F34">
        <f>D34*E34</f>
        <v/>
      </c>
      <c r="G34">
        <f>IF($F34&gt;=20,"Critical",IF($F34&gt;=15,"High",IF($F34&gt;=10,"Medium",IF($F34&gt;=5,"Low",IF($F34&gt;0,"Very Low","")))))</f>
        <v/>
      </c>
      <c r="H34" s="5" t="n"/>
    </row>
    <row r="35">
      <c r="B35" s="6" t="n"/>
      <c r="F35">
        <f>D35*E35</f>
        <v/>
      </c>
      <c r="G35">
        <f>IF($F35&gt;=20,"Critical",IF($F35&gt;=15,"High",IF($F35&gt;=10,"Medium",IF($F35&gt;=5,"Low",IF($F35&gt;0,"Very Low","")))))</f>
        <v/>
      </c>
      <c r="H35" s="5" t="n"/>
    </row>
    <row r="36">
      <c r="B36" s="6" t="n"/>
      <c r="F36">
        <f>D36*E36</f>
        <v/>
      </c>
      <c r="G36">
        <f>IF($F36&gt;=20,"Critical",IF($F36&gt;=15,"High",IF($F36&gt;=10,"Medium",IF($F36&gt;=5,"Low",IF($F36&gt;0,"Very Low","")))))</f>
        <v/>
      </c>
      <c r="H36" s="5" t="n"/>
    </row>
    <row r="37">
      <c r="B37" s="6" t="n"/>
      <c r="F37">
        <f>D37*E37</f>
        <v/>
      </c>
      <c r="G37">
        <f>IF($F37&gt;=20,"Critical",IF($F37&gt;=15,"High",IF($F37&gt;=10,"Medium",IF($F37&gt;=5,"Low",IF($F37&gt;0,"Very Low","")))))</f>
        <v/>
      </c>
      <c r="H37" s="5" t="n"/>
    </row>
    <row r="38">
      <c r="B38" s="6" t="n"/>
      <c r="F38">
        <f>D38*E38</f>
        <v/>
      </c>
      <c r="G38">
        <f>IF($F38&gt;=20,"Critical",IF($F38&gt;=15,"High",IF($F38&gt;=10,"Medium",IF($F38&gt;=5,"Low",IF($F38&gt;0,"Very Low","")))))</f>
        <v/>
      </c>
      <c r="H38" s="5" t="n"/>
    </row>
    <row r="39">
      <c r="B39" s="6" t="n"/>
      <c r="F39">
        <f>D39*E39</f>
        <v/>
      </c>
      <c r="G39">
        <f>IF($F39&gt;=20,"Critical",IF($F39&gt;=15,"High",IF($F39&gt;=10,"Medium",IF($F39&gt;=5,"Low",IF($F39&gt;0,"Very Low","")))))</f>
        <v/>
      </c>
      <c r="H39" s="5" t="n"/>
    </row>
    <row r="40">
      <c r="B40" s="6" t="n"/>
      <c r="F40">
        <f>D40*E40</f>
        <v/>
      </c>
      <c r="G40">
        <f>IF($F40&gt;=20,"Critical",IF($F40&gt;=15,"High",IF($F40&gt;=10,"Medium",IF($F40&gt;=5,"Low",IF($F40&gt;0,"Very Low","")))))</f>
        <v/>
      </c>
      <c r="H40" s="5" t="n"/>
    </row>
    <row r="41">
      <c r="B41" s="6" t="n"/>
      <c r="F41">
        <f>D41*E41</f>
        <v/>
      </c>
      <c r="G41">
        <f>IF($F41&gt;=20,"Critical",IF($F41&gt;=15,"High",IF($F41&gt;=10,"Medium",IF($F41&gt;=5,"Low",IF($F41&gt;0,"Very Low","")))))</f>
        <v/>
      </c>
      <c r="H41" s="5" t="n"/>
    </row>
    <row r="42">
      <c r="B42" s="6" t="n"/>
      <c r="F42">
        <f>D42*E42</f>
        <v/>
      </c>
      <c r="G42">
        <f>IF($F42&gt;=20,"Critical",IF($F42&gt;=15,"High",IF($F42&gt;=10,"Medium",IF($F42&gt;=5,"Low",IF($F42&gt;0,"Very Low","")))))</f>
        <v/>
      </c>
      <c r="H42" s="5" t="n"/>
    </row>
    <row r="43">
      <c r="B43" s="6" t="n"/>
      <c r="F43">
        <f>D43*E43</f>
        <v/>
      </c>
      <c r="G43">
        <f>IF($F43&gt;=20,"Critical",IF($F43&gt;=15,"High",IF($F43&gt;=10,"Medium",IF($F43&gt;=5,"Low",IF($F43&gt;0,"Very Low","")))))</f>
        <v/>
      </c>
      <c r="H43" s="5" t="n"/>
    </row>
    <row r="44">
      <c r="B44" s="6" t="n"/>
      <c r="F44">
        <f>D44*E44</f>
        <v/>
      </c>
      <c r="G44">
        <f>IF($F44&gt;=20,"Critical",IF($F44&gt;=15,"High",IF($F44&gt;=10,"Medium",IF($F44&gt;=5,"Low",IF($F44&gt;0,"Very Low","")))))</f>
        <v/>
      </c>
      <c r="H44" s="5" t="n"/>
    </row>
    <row r="45">
      <c r="B45" s="6" t="n"/>
      <c r="F45">
        <f>D45*E45</f>
        <v/>
      </c>
      <c r="G45">
        <f>IF($F45&gt;=20,"Critical",IF($F45&gt;=15,"High",IF($F45&gt;=10,"Medium",IF($F45&gt;=5,"Low",IF($F45&gt;0,"Very Low","")))))</f>
        <v/>
      </c>
      <c r="H45" s="5" t="n"/>
    </row>
    <row r="46">
      <c r="B46" s="6" t="n"/>
      <c r="F46">
        <f>D46*E46</f>
        <v/>
      </c>
      <c r="G46">
        <f>IF($F46&gt;=20,"Critical",IF($F46&gt;=15,"High",IF($F46&gt;=10,"Medium",IF($F46&gt;=5,"Low",IF($F46&gt;0,"Very Low","")))))</f>
        <v/>
      </c>
      <c r="H46" s="5" t="n"/>
    </row>
    <row r="47">
      <c r="B47" s="6" t="n"/>
      <c r="F47">
        <f>D47*E47</f>
        <v/>
      </c>
      <c r="G47">
        <f>IF($F47&gt;=20,"Critical",IF($F47&gt;=15,"High",IF($F47&gt;=10,"Medium",IF($F47&gt;=5,"Low",IF($F47&gt;0,"Very Low","")))))</f>
        <v/>
      </c>
      <c r="H47" s="5" t="n"/>
    </row>
    <row r="48">
      <c r="B48" s="6" t="n"/>
      <c r="F48">
        <f>D48*E48</f>
        <v/>
      </c>
      <c r="G48">
        <f>IF($F48&gt;=20,"Critical",IF($F48&gt;=15,"High",IF($F48&gt;=10,"Medium",IF($F48&gt;=5,"Low",IF($F48&gt;0,"Very Low","")))))</f>
        <v/>
      </c>
      <c r="H48" s="5" t="n"/>
    </row>
    <row r="49">
      <c r="B49" s="6" t="n"/>
      <c r="F49">
        <f>D49*E49</f>
        <v/>
      </c>
      <c r="G49">
        <f>IF($F49&gt;=20,"Critical",IF($F49&gt;=15,"High",IF($F49&gt;=10,"Medium",IF($F49&gt;=5,"Low",IF($F49&gt;0,"Very Low","")))))</f>
        <v/>
      </c>
      <c r="H49" s="5" t="n"/>
    </row>
    <row r="50">
      <c r="B50" s="6" t="n"/>
      <c r="F50">
        <f>D50*E50</f>
        <v/>
      </c>
      <c r="G50">
        <f>IF($F50&gt;=20,"Critical",IF($F50&gt;=15,"High",IF($F50&gt;=10,"Medium",IF($F50&gt;=5,"Low",IF($F50&gt;0,"Very Low","")))))</f>
        <v/>
      </c>
      <c r="H50" s="5" t="n"/>
    </row>
    <row r="51">
      <c r="B51" s="6" t="n"/>
      <c r="F51">
        <f>D51*E51</f>
        <v/>
      </c>
      <c r="G51">
        <f>IF($F51&gt;=20,"Critical",IF($F51&gt;=15,"High",IF($F51&gt;=10,"Medium",IF($F51&gt;=5,"Low",IF($F51&gt;0,"Very Low","")))))</f>
        <v/>
      </c>
      <c r="H51" s="5" t="n"/>
    </row>
    <row r="52">
      <c r="B52" s="6" t="n"/>
      <c r="F52">
        <f>D52*E52</f>
        <v/>
      </c>
      <c r="G52">
        <f>IF($F52&gt;=20,"Critical",IF($F52&gt;=15,"High",IF($F52&gt;=10,"Medium",IF($F52&gt;=5,"Low",IF($F52&gt;0,"Very Low","")))))</f>
        <v/>
      </c>
      <c r="H52" s="5" t="n"/>
    </row>
    <row r="53">
      <c r="B53" s="6" t="n"/>
      <c r="F53">
        <f>D53*E53</f>
        <v/>
      </c>
      <c r="G53">
        <f>IF($F53&gt;=20,"Critical",IF($F53&gt;=15,"High",IF($F53&gt;=10,"Medium",IF($F53&gt;=5,"Low",IF($F53&gt;0,"Very Low","")))))</f>
        <v/>
      </c>
      <c r="H53" s="5" t="n"/>
    </row>
    <row r="54">
      <c r="B54" s="6" t="n"/>
      <c r="F54">
        <f>D54*E54</f>
        <v/>
      </c>
      <c r="G54">
        <f>IF($F54&gt;=20,"Critical",IF($F54&gt;=15,"High",IF($F54&gt;=10,"Medium",IF($F54&gt;=5,"Low",IF($F54&gt;0,"Very Low","")))))</f>
        <v/>
      </c>
      <c r="H54" s="5" t="n"/>
    </row>
    <row r="55">
      <c r="B55" s="6" t="n"/>
      <c r="F55">
        <f>D55*E55</f>
        <v/>
      </c>
      <c r="G55">
        <f>IF($F55&gt;=20,"Critical",IF($F55&gt;=15,"High",IF($F55&gt;=10,"Medium",IF($F55&gt;=5,"Low",IF($F55&gt;0,"Very Low","")))))</f>
        <v/>
      </c>
      <c r="H55" s="5" t="n"/>
    </row>
    <row r="56">
      <c r="B56" s="6" t="n"/>
      <c r="F56">
        <f>D56*E56</f>
        <v/>
      </c>
      <c r="G56">
        <f>IF($F56&gt;=20,"Critical",IF($F56&gt;=15,"High",IF($F56&gt;=10,"Medium",IF($F56&gt;=5,"Low",IF($F56&gt;0,"Very Low","")))))</f>
        <v/>
      </c>
      <c r="H56" s="5" t="n"/>
    </row>
    <row r="57">
      <c r="B57" s="6" t="n"/>
      <c r="F57">
        <f>D57*E57</f>
        <v/>
      </c>
      <c r="G57">
        <f>IF($F57&gt;=20,"Critical",IF($F57&gt;=15,"High",IF($F57&gt;=10,"Medium",IF($F57&gt;=5,"Low",IF($F57&gt;0,"Very Low","")))))</f>
        <v/>
      </c>
      <c r="H57" s="5" t="n"/>
    </row>
    <row r="58">
      <c r="B58" s="6" t="n"/>
      <c r="F58">
        <f>D58*E58</f>
        <v/>
      </c>
      <c r="G58">
        <f>IF($F58&gt;=20,"Critical",IF($F58&gt;=15,"High",IF($F58&gt;=10,"Medium",IF($F58&gt;=5,"Low",IF($F58&gt;0,"Very Low","")))))</f>
        <v/>
      </c>
      <c r="H58" s="5" t="n"/>
    </row>
    <row r="59">
      <c r="B59" s="6" t="n"/>
      <c r="F59">
        <f>D59*E59</f>
        <v/>
      </c>
      <c r="G59">
        <f>IF($F59&gt;=20,"Critical",IF($F59&gt;=15,"High",IF($F59&gt;=10,"Medium",IF($F59&gt;=5,"Low",IF($F59&gt;0,"Very Low","")))))</f>
        <v/>
      </c>
      <c r="H59" s="5" t="n"/>
    </row>
    <row r="60">
      <c r="B60" s="6" t="n"/>
      <c r="F60">
        <f>D60*E60</f>
        <v/>
      </c>
      <c r="G60">
        <f>IF($F60&gt;=20,"Critical",IF($F60&gt;=15,"High",IF($F60&gt;=10,"Medium",IF($F60&gt;=5,"Low",IF($F60&gt;0,"Very Low","")))))</f>
        <v/>
      </c>
      <c r="H60" s="5" t="n"/>
    </row>
    <row r="61">
      <c r="B61" s="6" t="n"/>
      <c r="F61">
        <f>D61*E61</f>
        <v/>
      </c>
      <c r="G61">
        <f>IF($F61&gt;=20,"Critical",IF($F61&gt;=15,"High",IF($F61&gt;=10,"Medium",IF($F61&gt;=5,"Low",IF($F61&gt;0,"Very Low","")))))</f>
        <v/>
      </c>
      <c r="H61" s="5" t="n"/>
    </row>
    <row r="62">
      <c r="B62" s="6" t="n"/>
      <c r="F62">
        <f>D62*E62</f>
        <v/>
      </c>
      <c r="G62">
        <f>IF($F62&gt;=20,"Critical",IF($F62&gt;=15,"High",IF($F62&gt;=10,"Medium",IF($F62&gt;=5,"Low",IF($F62&gt;0,"Very Low","")))))</f>
        <v/>
      </c>
      <c r="H62" s="5" t="n"/>
    </row>
    <row r="63">
      <c r="B63" s="6" t="n"/>
      <c r="F63">
        <f>D63*E63</f>
        <v/>
      </c>
      <c r="G63">
        <f>IF($F63&gt;=20,"Critical",IF($F63&gt;=15,"High",IF($F63&gt;=10,"Medium",IF($F63&gt;=5,"Low",IF($F63&gt;0,"Very Low","")))))</f>
        <v/>
      </c>
      <c r="H63" s="5" t="n"/>
    </row>
    <row r="64">
      <c r="B64" s="6" t="n"/>
      <c r="F64">
        <f>D64*E64</f>
        <v/>
      </c>
      <c r="G64">
        <f>IF($F64&gt;=20,"Critical",IF($F64&gt;=15,"High",IF($F64&gt;=10,"Medium",IF($F64&gt;=5,"Low",IF($F64&gt;0,"Very Low","")))))</f>
        <v/>
      </c>
      <c r="H64" s="5" t="n"/>
    </row>
    <row r="65">
      <c r="B65" s="6" t="n"/>
      <c r="F65">
        <f>D65*E65</f>
        <v/>
      </c>
      <c r="G65">
        <f>IF($F65&gt;=20,"Critical",IF($F65&gt;=15,"High",IF($F65&gt;=10,"Medium",IF($F65&gt;=5,"Low",IF($F65&gt;0,"Very Low","")))))</f>
        <v/>
      </c>
      <c r="H65" s="5" t="n"/>
    </row>
    <row r="66">
      <c r="B66" s="6" t="n"/>
      <c r="F66">
        <f>D66*E66</f>
        <v/>
      </c>
      <c r="G66">
        <f>IF($F66&gt;=20,"Critical",IF($F66&gt;=15,"High",IF($F66&gt;=10,"Medium",IF($F66&gt;=5,"Low",IF($F66&gt;0,"Very Low","")))))</f>
        <v/>
      </c>
      <c r="H66" s="5" t="n"/>
    </row>
    <row r="67">
      <c r="B67" s="6" t="n"/>
      <c r="F67">
        <f>D67*E67</f>
        <v/>
      </c>
      <c r="G67">
        <f>IF($F67&gt;=20,"Critical",IF($F67&gt;=15,"High",IF($F67&gt;=10,"Medium",IF($F67&gt;=5,"Low",IF($F67&gt;0,"Very Low","")))))</f>
        <v/>
      </c>
      <c r="H67" s="5" t="n"/>
    </row>
    <row r="68">
      <c r="B68" s="6" t="n"/>
      <c r="F68">
        <f>D68*E68</f>
        <v/>
      </c>
      <c r="G68">
        <f>IF($F68&gt;=20,"Critical",IF($F68&gt;=15,"High",IF($F68&gt;=10,"Medium",IF($F68&gt;=5,"Low",IF($F68&gt;0,"Very Low","")))))</f>
        <v/>
      </c>
      <c r="H68" s="5" t="n"/>
    </row>
    <row r="69">
      <c r="B69" s="6" t="n"/>
      <c r="F69">
        <f>D69*E69</f>
        <v/>
      </c>
      <c r="G69">
        <f>IF($F69&gt;=20,"Critical",IF($F69&gt;=15,"High",IF($F69&gt;=10,"Medium",IF($F69&gt;=5,"Low",IF($F69&gt;0,"Very Low","")))))</f>
        <v/>
      </c>
      <c r="H69" s="5" t="n"/>
    </row>
    <row r="70">
      <c r="B70" s="6" t="n"/>
      <c r="F70">
        <f>D70*E70</f>
        <v/>
      </c>
      <c r="G70">
        <f>IF($F70&gt;=20,"Critical",IF($F70&gt;=15,"High",IF($F70&gt;=10,"Medium",IF($F70&gt;=5,"Low",IF($F70&gt;0,"Very Low","")))))</f>
        <v/>
      </c>
      <c r="H70" s="5" t="n"/>
    </row>
    <row r="71">
      <c r="B71" s="6" t="n"/>
      <c r="F71">
        <f>D71*E71</f>
        <v/>
      </c>
      <c r="G71">
        <f>IF($F71&gt;=20,"Critical",IF($F71&gt;=15,"High",IF($F71&gt;=10,"Medium",IF($F71&gt;=5,"Low",IF($F71&gt;0,"Very Low","")))))</f>
        <v/>
      </c>
      <c r="H71" s="5" t="n"/>
    </row>
    <row r="72">
      <c r="B72" s="6" t="n"/>
      <c r="F72">
        <f>D72*E72</f>
        <v/>
      </c>
      <c r="G72">
        <f>IF($F72&gt;=20,"Critical",IF($F72&gt;=15,"High",IF($F72&gt;=10,"Medium",IF($F72&gt;=5,"Low",IF($F72&gt;0,"Very Low","")))))</f>
        <v/>
      </c>
      <c r="H72" s="5" t="n"/>
    </row>
    <row r="73">
      <c r="B73" s="6" t="n"/>
      <c r="F73">
        <f>D73*E73</f>
        <v/>
      </c>
      <c r="G73">
        <f>IF($F73&gt;=20,"Critical",IF($F73&gt;=15,"High",IF($F73&gt;=10,"Medium",IF($F73&gt;=5,"Low",IF($F73&gt;0,"Very Low","")))))</f>
        <v/>
      </c>
      <c r="H73" s="5" t="n"/>
    </row>
    <row r="74">
      <c r="B74" s="6" t="n"/>
      <c r="F74">
        <f>D74*E74</f>
        <v/>
      </c>
      <c r="G74">
        <f>IF($F74&gt;=20,"Critical",IF($F74&gt;=15,"High",IF($F74&gt;=10,"Medium",IF($F74&gt;=5,"Low",IF($F74&gt;0,"Very Low","")))))</f>
        <v/>
      </c>
      <c r="H74" s="5" t="n"/>
    </row>
    <row r="75">
      <c r="B75" s="6" t="n"/>
      <c r="F75">
        <f>D75*E75</f>
        <v/>
      </c>
      <c r="G75">
        <f>IF($F75&gt;=20,"Critical",IF($F75&gt;=15,"High",IF($F75&gt;=10,"Medium",IF($F75&gt;=5,"Low",IF($F75&gt;0,"Very Low","")))))</f>
        <v/>
      </c>
      <c r="H75" s="5" t="n"/>
    </row>
    <row r="76">
      <c r="B76" s="6" t="n"/>
      <c r="F76">
        <f>D76*E76</f>
        <v/>
      </c>
      <c r="G76">
        <f>IF($F76&gt;=20,"Critical",IF($F76&gt;=15,"High",IF($F76&gt;=10,"Medium",IF($F76&gt;=5,"Low",IF($F76&gt;0,"Very Low","")))))</f>
        <v/>
      </c>
      <c r="H76" s="5" t="n"/>
    </row>
    <row r="77">
      <c r="B77" s="6" t="n"/>
      <c r="F77">
        <f>D77*E77</f>
        <v/>
      </c>
      <c r="G77">
        <f>IF($F77&gt;=20,"Critical",IF($F77&gt;=15,"High",IF($F77&gt;=10,"Medium",IF($F77&gt;=5,"Low",IF($F77&gt;0,"Very Low","")))))</f>
        <v/>
      </c>
      <c r="H77" s="5" t="n"/>
    </row>
    <row r="78">
      <c r="B78" s="6" t="n"/>
      <c r="F78">
        <f>D78*E78</f>
        <v/>
      </c>
      <c r="G78">
        <f>IF($F78&gt;=20,"Critical",IF($F78&gt;=15,"High",IF($F78&gt;=10,"Medium",IF($F78&gt;=5,"Low",IF($F78&gt;0,"Very Low","")))))</f>
        <v/>
      </c>
      <c r="H78" s="5" t="n"/>
    </row>
    <row r="79">
      <c r="B79" s="6" t="n"/>
      <c r="F79">
        <f>D79*E79</f>
        <v/>
      </c>
      <c r="G79">
        <f>IF($F79&gt;=20,"Critical",IF($F79&gt;=15,"High",IF($F79&gt;=10,"Medium",IF($F79&gt;=5,"Low",IF($F79&gt;0,"Very Low","")))))</f>
        <v/>
      </c>
      <c r="H79" s="5" t="n"/>
    </row>
    <row r="80">
      <c r="B80" s="6" t="n"/>
      <c r="F80">
        <f>D80*E80</f>
        <v/>
      </c>
      <c r="G80">
        <f>IF($F80&gt;=20,"Critical",IF($F80&gt;=15,"High",IF($F80&gt;=10,"Medium",IF($F80&gt;=5,"Low",IF($F80&gt;0,"Very Low","")))))</f>
        <v/>
      </c>
      <c r="H80" s="5" t="n"/>
    </row>
    <row r="81">
      <c r="B81" s="6" t="n"/>
      <c r="F81">
        <f>D81*E81</f>
        <v/>
      </c>
      <c r="G81">
        <f>IF($F81&gt;=20,"Critical",IF($F81&gt;=15,"High",IF($F81&gt;=10,"Medium",IF($F81&gt;=5,"Low",IF($F81&gt;0,"Very Low","")))))</f>
        <v/>
      </c>
      <c r="H81" s="5" t="n"/>
    </row>
    <row r="82">
      <c r="B82" s="6" t="n"/>
      <c r="F82">
        <f>D82*E82</f>
        <v/>
      </c>
      <c r="G82">
        <f>IF($F82&gt;=20,"Critical",IF($F82&gt;=15,"High",IF($F82&gt;=10,"Medium",IF($F82&gt;=5,"Low",IF($F82&gt;0,"Very Low","")))))</f>
        <v/>
      </c>
      <c r="H82" s="5" t="n"/>
    </row>
    <row r="83">
      <c r="B83" s="6" t="n"/>
      <c r="F83">
        <f>D83*E83</f>
        <v/>
      </c>
      <c r="G83">
        <f>IF($F83&gt;=20,"Critical",IF($F83&gt;=15,"High",IF($F83&gt;=10,"Medium",IF($F83&gt;=5,"Low",IF($F83&gt;0,"Very Low","")))))</f>
        <v/>
      </c>
      <c r="H83" s="5" t="n"/>
    </row>
    <row r="84">
      <c r="B84" s="6" t="n"/>
      <c r="F84">
        <f>D84*E84</f>
        <v/>
      </c>
      <c r="G84">
        <f>IF($F84&gt;=20,"Critical",IF($F84&gt;=15,"High",IF($F84&gt;=10,"Medium",IF($F84&gt;=5,"Low",IF($F84&gt;0,"Very Low","")))))</f>
        <v/>
      </c>
      <c r="H84" s="5" t="n"/>
    </row>
    <row r="85">
      <c r="B85" s="6" t="n"/>
      <c r="F85">
        <f>D85*E85</f>
        <v/>
      </c>
      <c r="G85">
        <f>IF($F85&gt;=20,"Critical",IF($F85&gt;=15,"High",IF($F85&gt;=10,"Medium",IF($F85&gt;=5,"Low",IF($F85&gt;0,"Very Low","")))))</f>
        <v/>
      </c>
      <c r="H85" s="5" t="n"/>
    </row>
    <row r="86">
      <c r="B86" s="6" t="n"/>
      <c r="F86">
        <f>D86*E86</f>
        <v/>
      </c>
      <c r="G86">
        <f>IF($F86&gt;=20,"Critical",IF($F86&gt;=15,"High",IF($F86&gt;=10,"Medium",IF($F86&gt;=5,"Low",IF($F86&gt;0,"Very Low","")))))</f>
        <v/>
      </c>
      <c r="H86" s="5" t="n"/>
    </row>
    <row r="87">
      <c r="B87" s="6" t="n"/>
      <c r="F87">
        <f>D87*E87</f>
        <v/>
      </c>
      <c r="G87">
        <f>IF($F87&gt;=20,"Critical",IF($F87&gt;=15,"High",IF($F87&gt;=10,"Medium",IF($F87&gt;=5,"Low",IF($F87&gt;0,"Very Low","")))))</f>
        <v/>
      </c>
      <c r="H87" s="5" t="n"/>
    </row>
    <row r="88">
      <c r="B88" s="6" t="n"/>
      <c r="F88">
        <f>D88*E88</f>
        <v/>
      </c>
      <c r="G88">
        <f>IF($F88&gt;=20,"Critical",IF($F88&gt;=15,"High",IF($F88&gt;=10,"Medium",IF($F88&gt;=5,"Low",IF($F88&gt;0,"Very Low","")))))</f>
        <v/>
      </c>
      <c r="H88" s="5" t="n"/>
    </row>
    <row r="89">
      <c r="B89" s="6" t="n"/>
      <c r="F89">
        <f>D89*E89</f>
        <v/>
      </c>
      <c r="G89">
        <f>IF($F89&gt;=20,"Critical",IF($F89&gt;=15,"High",IF($F89&gt;=10,"Medium",IF($F89&gt;=5,"Low",IF($F89&gt;0,"Very Low","")))))</f>
        <v/>
      </c>
      <c r="H89" s="5" t="n"/>
    </row>
    <row r="90">
      <c r="B90" s="6" t="n"/>
      <c r="F90">
        <f>D90*E90</f>
        <v/>
      </c>
      <c r="G90">
        <f>IF($F90&gt;=20,"Critical",IF($F90&gt;=15,"High",IF($F90&gt;=10,"Medium",IF($F90&gt;=5,"Low",IF($F90&gt;0,"Very Low","")))))</f>
        <v/>
      </c>
      <c r="H90" s="5" t="n"/>
    </row>
    <row r="91">
      <c r="B91" s="6" t="n"/>
      <c r="F91">
        <f>D91*E91</f>
        <v/>
      </c>
      <c r="G91">
        <f>IF($F91&gt;=20,"Critical",IF($F91&gt;=15,"High",IF($F91&gt;=10,"Medium",IF($F91&gt;=5,"Low",IF($F91&gt;0,"Very Low","")))))</f>
        <v/>
      </c>
      <c r="H91" s="5" t="n"/>
    </row>
    <row r="92">
      <c r="B92" s="6" t="n"/>
      <c r="F92">
        <f>D92*E92</f>
        <v/>
      </c>
      <c r="G92">
        <f>IF($F92&gt;=20,"Critical",IF($F92&gt;=15,"High",IF($F92&gt;=10,"Medium",IF($F92&gt;=5,"Low",IF($F92&gt;0,"Very Low","")))))</f>
        <v/>
      </c>
      <c r="H92" s="5" t="n"/>
    </row>
    <row r="93">
      <c r="B93" s="6" t="n"/>
      <c r="F93">
        <f>D93*E93</f>
        <v/>
      </c>
      <c r="G93">
        <f>IF($F93&gt;=20,"Critical",IF($F93&gt;=15,"High",IF($F93&gt;=10,"Medium",IF($F93&gt;=5,"Low",IF($F93&gt;0,"Very Low","")))))</f>
        <v/>
      </c>
      <c r="H93" s="5" t="n"/>
    </row>
    <row r="94">
      <c r="B94" s="6" t="n"/>
      <c r="F94">
        <f>D94*E94</f>
        <v/>
      </c>
      <c r="G94">
        <f>IF($F94&gt;=20,"Critical",IF($F94&gt;=15,"High",IF($F94&gt;=10,"Medium",IF($F94&gt;=5,"Low",IF($F94&gt;0,"Very Low","")))))</f>
        <v/>
      </c>
      <c r="H94" s="5" t="n"/>
    </row>
    <row r="95">
      <c r="B95" s="6" t="n"/>
      <c r="F95">
        <f>D95*E95</f>
        <v/>
      </c>
      <c r="G95">
        <f>IF($F95&gt;=20,"Critical",IF($F95&gt;=15,"High",IF($F95&gt;=10,"Medium",IF($F95&gt;=5,"Low",IF($F95&gt;0,"Very Low","")))))</f>
        <v/>
      </c>
      <c r="H95" s="5" t="n"/>
    </row>
    <row r="96">
      <c r="B96" s="6" t="n"/>
      <c r="F96">
        <f>D96*E96</f>
        <v/>
      </c>
      <c r="G96">
        <f>IF($F96&gt;=20,"Critical",IF($F96&gt;=15,"High",IF($F96&gt;=10,"Medium",IF($F96&gt;=5,"Low",IF($F96&gt;0,"Very Low","")))))</f>
        <v/>
      </c>
      <c r="H96" s="5" t="n"/>
    </row>
    <row r="97">
      <c r="B97" s="6" t="n"/>
      <c r="F97">
        <f>D97*E97</f>
        <v/>
      </c>
      <c r="G97">
        <f>IF($F97&gt;=20,"Critical",IF($F97&gt;=15,"High",IF($F97&gt;=10,"Medium",IF($F97&gt;=5,"Low",IF($F97&gt;0,"Very Low","")))))</f>
        <v/>
      </c>
      <c r="H97" s="5" t="n"/>
    </row>
    <row r="98">
      <c r="B98" s="6" t="n"/>
      <c r="F98">
        <f>D98*E98</f>
        <v/>
      </c>
      <c r="G98">
        <f>IF($F98&gt;=20,"Critical",IF($F98&gt;=15,"High",IF($F98&gt;=10,"Medium",IF($F98&gt;=5,"Low",IF($F98&gt;0,"Very Low","")))))</f>
        <v/>
      </c>
      <c r="H98" s="5" t="n"/>
    </row>
    <row r="99">
      <c r="B99" s="6" t="n"/>
      <c r="F99">
        <f>D99*E99</f>
        <v/>
      </c>
      <c r="G99">
        <f>IF($F99&gt;=20,"Critical",IF($F99&gt;=15,"High",IF($F99&gt;=10,"Medium",IF($F99&gt;=5,"Low",IF($F99&gt;0,"Very Low","")))))</f>
        <v/>
      </c>
      <c r="H99" s="5" t="n"/>
    </row>
    <row r="100">
      <c r="B100" s="6" t="n"/>
      <c r="F100">
        <f>D100*E100</f>
        <v/>
      </c>
      <c r="G100">
        <f>IF($F100&gt;=20,"Critical",IF($F100&gt;=15,"High",IF($F100&gt;=10,"Medium",IF($F100&gt;=5,"Low",IF($F100&gt;0,"Very Low","")))))</f>
        <v/>
      </c>
      <c r="H100" s="5" t="n"/>
    </row>
    <row r="101">
      <c r="B101" s="6" t="n"/>
      <c r="F101">
        <f>D101*E101</f>
        <v/>
      </c>
      <c r="G101">
        <f>IF($F101&gt;=20,"Critical",IF($F101&gt;=15,"High",IF($F101&gt;=10,"Medium",IF($F101&gt;=5,"Low",IF($F101&gt;0,"Very Low","")))))</f>
        <v/>
      </c>
      <c r="H101" s="5" t="n"/>
    </row>
    <row r="102">
      <c r="B102" s="6" t="n"/>
      <c r="F102">
        <f>D102*E102</f>
        <v/>
      </c>
      <c r="G102">
        <f>IF($F102&gt;=20,"Critical",IF($F102&gt;=15,"High",IF($F102&gt;=10,"Medium",IF($F102&gt;=5,"Low",IF($F102&gt;0,"Very Low","")))))</f>
        <v/>
      </c>
      <c r="H102" s="5" t="n"/>
    </row>
    <row r="103">
      <c r="B103" s="6" t="n"/>
      <c r="F103">
        <f>D103*E103</f>
        <v/>
      </c>
      <c r="G103">
        <f>IF($F103&gt;=20,"Critical",IF($F103&gt;=15,"High",IF($F103&gt;=10,"Medium",IF($F103&gt;=5,"Low",IF($F103&gt;0,"Very Low","")))))</f>
        <v/>
      </c>
      <c r="H103" s="5" t="n"/>
    </row>
    <row r="104">
      <c r="B104" s="6" t="n"/>
      <c r="F104">
        <f>D104*E104</f>
        <v/>
      </c>
      <c r="G104">
        <f>IF($F104&gt;=20,"Critical",IF($F104&gt;=15,"High",IF($F104&gt;=10,"Medium",IF($F104&gt;=5,"Low",IF($F104&gt;0,"Very Low","")))))</f>
        <v/>
      </c>
      <c r="H104" s="5" t="n"/>
    </row>
    <row r="105">
      <c r="B105" s="6" t="n"/>
      <c r="F105">
        <f>D105*E105</f>
        <v/>
      </c>
      <c r="G105">
        <f>IF($F105&gt;=20,"Critical",IF($F105&gt;=15,"High",IF($F105&gt;=10,"Medium",IF($F105&gt;=5,"Low",IF($F105&gt;0,"Very Low","")))))</f>
        <v/>
      </c>
      <c r="H105" s="5" t="n"/>
    </row>
    <row r="106">
      <c r="B106" s="6" t="n"/>
      <c r="F106">
        <f>D106*E106</f>
        <v/>
      </c>
      <c r="G106">
        <f>IF($F106&gt;=20,"Critical",IF($F106&gt;=15,"High",IF($F106&gt;=10,"Medium",IF($F106&gt;=5,"Low",IF($F106&gt;0,"Very Low","")))))</f>
        <v/>
      </c>
      <c r="H106" s="5" t="n"/>
    </row>
    <row r="107">
      <c r="B107" s="6" t="n"/>
      <c r="F107">
        <f>D107*E107</f>
        <v/>
      </c>
      <c r="G107">
        <f>IF($F107&gt;=20,"Critical",IF($F107&gt;=15,"High",IF($F107&gt;=10,"Medium",IF($F107&gt;=5,"Low",IF($F107&gt;0,"Very Low","")))))</f>
        <v/>
      </c>
      <c r="H107" s="5" t="n"/>
    </row>
    <row r="108">
      <c r="B108" s="6" t="n"/>
      <c r="F108">
        <f>D108*E108</f>
        <v/>
      </c>
      <c r="G108">
        <f>IF($F108&gt;=20,"Critical",IF($F108&gt;=15,"High",IF($F108&gt;=10,"Medium",IF($F108&gt;=5,"Low",IF($F108&gt;0,"Very Low","")))))</f>
        <v/>
      </c>
      <c r="H108" s="5" t="n"/>
    </row>
    <row r="109">
      <c r="B109" s="6" t="n"/>
      <c r="F109">
        <f>D109*E109</f>
        <v/>
      </c>
      <c r="G109">
        <f>IF($F109&gt;=20,"Critical",IF($F109&gt;=15,"High",IF($F109&gt;=10,"Medium",IF($F109&gt;=5,"Low",IF($F109&gt;0,"Very Low","")))))</f>
        <v/>
      </c>
      <c r="H109" s="5" t="n"/>
    </row>
    <row r="110">
      <c r="B110" s="6" t="n"/>
      <c r="F110">
        <f>D110*E110</f>
        <v/>
      </c>
      <c r="G110">
        <f>IF($F110&gt;=20,"Critical",IF($F110&gt;=15,"High",IF($F110&gt;=10,"Medium",IF($F110&gt;=5,"Low",IF($F110&gt;0,"Very Low","")))))</f>
        <v/>
      </c>
      <c r="H110" s="5" t="n"/>
    </row>
    <row r="111">
      <c r="B111" s="6" t="n"/>
      <c r="F111">
        <f>D111*E111</f>
        <v/>
      </c>
      <c r="G111">
        <f>IF($F111&gt;=20,"Critical",IF($F111&gt;=15,"High",IF($F111&gt;=10,"Medium",IF($F111&gt;=5,"Low",IF($F111&gt;0,"Very Low","")))))</f>
        <v/>
      </c>
      <c r="H111" s="5" t="n"/>
    </row>
    <row r="112">
      <c r="B112" s="6" t="n"/>
      <c r="F112">
        <f>D112*E112</f>
        <v/>
      </c>
      <c r="G112">
        <f>IF($F112&gt;=20,"Critical",IF($F112&gt;=15,"High",IF($F112&gt;=10,"Medium",IF($F112&gt;=5,"Low",IF($F112&gt;0,"Very Low","")))))</f>
        <v/>
      </c>
      <c r="H112" s="5" t="n"/>
    </row>
    <row r="113">
      <c r="B113" s="6" t="n"/>
      <c r="F113">
        <f>D113*E113</f>
        <v/>
      </c>
      <c r="G113">
        <f>IF($F113&gt;=20,"Critical",IF($F113&gt;=15,"High",IF($F113&gt;=10,"Medium",IF($F113&gt;=5,"Low",IF($F113&gt;0,"Very Low","")))))</f>
        <v/>
      </c>
      <c r="H113" s="5" t="n"/>
    </row>
    <row r="114">
      <c r="B114" s="6" t="n"/>
      <c r="F114">
        <f>D114*E114</f>
        <v/>
      </c>
      <c r="G114">
        <f>IF($F114&gt;=20,"Critical",IF($F114&gt;=15,"High",IF($F114&gt;=10,"Medium",IF($F114&gt;=5,"Low",IF($F114&gt;0,"Very Low","")))))</f>
        <v/>
      </c>
      <c r="H114" s="5" t="n"/>
    </row>
    <row r="115">
      <c r="B115" s="6" t="n"/>
      <c r="F115">
        <f>D115*E115</f>
        <v/>
      </c>
      <c r="G115">
        <f>IF($F115&gt;=20,"Critical",IF($F115&gt;=15,"High",IF($F115&gt;=10,"Medium",IF($F115&gt;=5,"Low",IF($F115&gt;0,"Very Low","")))))</f>
        <v/>
      </c>
      <c r="H115" s="5" t="n"/>
    </row>
    <row r="116">
      <c r="B116" s="6" t="n"/>
      <c r="F116">
        <f>D116*E116</f>
        <v/>
      </c>
      <c r="G116">
        <f>IF($F116&gt;=20,"Critical",IF($F116&gt;=15,"High",IF($F116&gt;=10,"Medium",IF($F116&gt;=5,"Low",IF($F116&gt;0,"Very Low","")))))</f>
        <v/>
      </c>
      <c r="H116" s="5" t="n"/>
    </row>
    <row r="117">
      <c r="B117" s="6" t="n"/>
      <c r="F117">
        <f>D117*E117</f>
        <v/>
      </c>
      <c r="G117">
        <f>IF($F117&gt;=20,"Critical",IF($F117&gt;=15,"High",IF($F117&gt;=10,"Medium",IF($F117&gt;=5,"Low",IF($F117&gt;0,"Very Low","")))))</f>
        <v/>
      </c>
      <c r="H117" s="5" t="n"/>
    </row>
    <row r="118">
      <c r="B118" s="6" t="n"/>
      <c r="F118">
        <f>D118*E118</f>
        <v/>
      </c>
      <c r="G118">
        <f>IF($F118&gt;=20,"Critical",IF($F118&gt;=15,"High",IF($F118&gt;=10,"Medium",IF($F118&gt;=5,"Low",IF($F118&gt;0,"Very Low","")))))</f>
        <v/>
      </c>
      <c r="H118" s="5" t="n"/>
    </row>
    <row r="119">
      <c r="B119" s="6" t="n"/>
      <c r="F119">
        <f>D119*E119</f>
        <v/>
      </c>
      <c r="G119">
        <f>IF($F119&gt;=20,"Critical",IF($F119&gt;=15,"High",IF($F119&gt;=10,"Medium",IF($F119&gt;=5,"Low",IF($F119&gt;0,"Very Low","")))))</f>
        <v/>
      </c>
      <c r="H119" s="5" t="n"/>
    </row>
    <row r="120">
      <c r="B120" s="6" t="n"/>
      <c r="F120">
        <f>D120*E120</f>
        <v/>
      </c>
      <c r="G120">
        <f>IF($F120&gt;=20,"Critical",IF($F120&gt;=15,"High",IF($F120&gt;=10,"Medium",IF($F120&gt;=5,"Low",IF($F120&gt;0,"Very Low","")))))</f>
        <v/>
      </c>
      <c r="H120" s="5" t="n"/>
    </row>
    <row r="121">
      <c r="B121" s="6" t="n"/>
      <c r="F121">
        <f>D121*E121</f>
        <v/>
      </c>
      <c r="G121">
        <f>IF($F121&gt;=20,"Critical",IF($F121&gt;=15,"High",IF($F121&gt;=10,"Medium",IF($F121&gt;=5,"Low",IF($F121&gt;0,"Very Low","")))))</f>
        <v/>
      </c>
      <c r="H121" s="5" t="n"/>
    </row>
    <row r="122">
      <c r="B122" s="6" t="n"/>
      <c r="F122">
        <f>D122*E122</f>
        <v/>
      </c>
      <c r="G122">
        <f>IF($F122&gt;=20,"Critical",IF($F122&gt;=15,"High",IF($F122&gt;=10,"Medium",IF($F122&gt;=5,"Low",IF($F122&gt;0,"Very Low","")))))</f>
        <v/>
      </c>
      <c r="H122" s="5" t="n"/>
    </row>
    <row r="123">
      <c r="B123" s="6" t="n"/>
      <c r="F123">
        <f>D123*E123</f>
        <v/>
      </c>
      <c r="G123">
        <f>IF($F123&gt;=20,"Critical",IF($F123&gt;=15,"High",IF($F123&gt;=10,"Medium",IF($F123&gt;=5,"Low",IF($F123&gt;0,"Very Low","")))))</f>
        <v/>
      </c>
      <c r="H123" s="5" t="n"/>
    </row>
    <row r="124">
      <c r="B124" s="6" t="n"/>
      <c r="F124">
        <f>D124*E124</f>
        <v/>
      </c>
      <c r="G124">
        <f>IF($F124&gt;=20,"Critical",IF($F124&gt;=15,"High",IF($F124&gt;=10,"Medium",IF($F124&gt;=5,"Low",IF($F124&gt;0,"Very Low","")))))</f>
        <v/>
      </c>
      <c r="H124" s="5" t="n"/>
    </row>
    <row r="125">
      <c r="B125" s="6" t="n"/>
      <c r="F125">
        <f>D125*E125</f>
        <v/>
      </c>
      <c r="G125">
        <f>IF($F125&gt;=20,"Critical",IF($F125&gt;=15,"High",IF($F125&gt;=10,"Medium",IF($F125&gt;=5,"Low",IF($F125&gt;0,"Very Low","")))))</f>
        <v/>
      </c>
      <c r="H125" s="5" t="n"/>
    </row>
    <row r="126">
      <c r="B126" s="6" t="n"/>
      <c r="F126">
        <f>D126*E126</f>
        <v/>
      </c>
      <c r="G126">
        <f>IF($F126&gt;=20,"Critical",IF($F126&gt;=15,"High",IF($F126&gt;=10,"Medium",IF($F126&gt;=5,"Low",IF($F126&gt;0,"Very Low","")))))</f>
        <v/>
      </c>
      <c r="H126" s="5" t="n"/>
    </row>
    <row r="127">
      <c r="B127" s="6" t="n"/>
      <c r="F127">
        <f>D127*E127</f>
        <v/>
      </c>
      <c r="G127">
        <f>IF($F127&gt;=20,"Critical",IF($F127&gt;=15,"High",IF($F127&gt;=10,"Medium",IF($F127&gt;=5,"Low",IF($F127&gt;0,"Very Low","")))))</f>
        <v/>
      </c>
      <c r="H127" s="5" t="n"/>
    </row>
    <row r="128">
      <c r="B128" s="6" t="n"/>
      <c r="F128">
        <f>D128*E128</f>
        <v/>
      </c>
      <c r="G128">
        <f>IF($F128&gt;=20,"Critical",IF($F128&gt;=15,"High",IF($F128&gt;=10,"Medium",IF($F128&gt;=5,"Low",IF($F128&gt;0,"Very Low","")))))</f>
        <v/>
      </c>
      <c r="H128" s="5" t="n"/>
    </row>
    <row r="129">
      <c r="B129" s="6" t="n"/>
      <c r="F129">
        <f>D129*E129</f>
        <v/>
      </c>
      <c r="G129">
        <f>IF($F129&gt;=20,"Critical",IF($F129&gt;=15,"High",IF($F129&gt;=10,"Medium",IF($F129&gt;=5,"Low",IF($F129&gt;0,"Very Low","")))))</f>
        <v/>
      </c>
      <c r="H129" s="5" t="n"/>
    </row>
    <row r="130">
      <c r="B130" s="6" t="n"/>
      <c r="F130">
        <f>D130*E130</f>
        <v/>
      </c>
      <c r="G130">
        <f>IF($F130&gt;=20,"Critical",IF($F130&gt;=15,"High",IF($F130&gt;=10,"Medium",IF($F130&gt;=5,"Low",IF($F130&gt;0,"Very Low","")))))</f>
        <v/>
      </c>
      <c r="H130" s="5" t="n"/>
    </row>
    <row r="131">
      <c r="B131" s="6" t="n"/>
      <c r="F131">
        <f>D131*E131</f>
        <v/>
      </c>
      <c r="G131">
        <f>IF($F131&gt;=20,"Critical",IF($F131&gt;=15,"High",IF($F131&gt;=10,"Medium",IF($F131&gt;=5,"Low",IF($F131&gt;0,"Very Low","")))))</f>
        <v/>
      </c>
      <c r="H131" s="5" t="n"/>
    </row>
    <row r="132">
      <c r="B132" s="6" t="n"/>
      <c r="F132">
        <f>D132*E132</f>
        <v/>
      </c>
      <c r="G132">
        <f>IF($F132&gt;=20,"Critical",IF($F132&gt;=15,"High",IF($F132&gt;=10,"Medium",IF($F132&gt;=5,"Low",IF($F132&gt;0,"Very Low","")))))</f>
        <v/>
      </c>
      <c r="H132" s="5" t="n"/>
    </row>
    <row r="133">
      <c r="B133" s="6" t="n"/>
      <c r="F133">
        <f>D133*E133</f>
        <v/>
      </c>
      <c r="G133">
        <f>IF($F133&gt;=20,"Critical",IF($F133&gt;=15,"High",IF($F133&gt;=10,"Medium",IF($F133&gt;=5,"Low",IF($F133&gt;0,"Very Low","")))))</f>
        <v/>
      </c>
      <c r="H133" s="5" t="n"/>
    </row>
    <row r="134">
      <c r="B134" s="6" t="n"/>
      <c r="F134">
        <f>D134*E134</f>
        <v/>
      </c>
      <c r="G134">
        <f>IF($F134&gt;=20,"Critical",IF($F134&gt;=15,"High",IF($F134&gt;=10,"Medium",IF($F134&gt;=5,"Low",IF($F134&gt;0,"Very Low","")))))</f>
        <v/>
      </c>
      <c r="H134" s="5" t="n"/>
    </row>
    <row r="135">
      <c r="B135" s="6" t="n"/>
      <c r="F135">
        <f>D135*E135</f>
        <v/>
      </c>
      <c r="G135">
        <f>IF($F135&gt;=20,"Critical",IF($F135&gt;=15,"High",IF($F135&gt;=10,"Medium",IF($F135&gt;=5,"Low",IF($F135&gt;0,"Very Low","")))))</f>
        <v/>
      </c>
      <c r="H135" s="5" t="n"/>
    </row>
    <row r="136">
      <c r="B136" s="6" t="n"/>
      <c r="F136">
        <f>D136*E136</f>
        <v/>
      </c>
      <c r="G136">
        <f>IF($F136&gt;=20,"Critical",IF($F136&gt;=15,"High",IF($F136&gt;=10,"Medium",IF($F136&gt;=5,"Low",IF($F136&gt;0,"Very Low","")))))</f>
        <v/>
      </c>
      <c r="H136" s="5" t="n"/>
    </row>
    <row r="137">
      <c r="B137" s="6" t="n"/>
      <c r="F137">
        <f>D137*E137</f>
        <v/>
      </c>
      <c r="G137">
        <f>IF($F137&gt;=20,"Critical",IF($F137&gt;=15,"High",IF($F137&gt;=10,"Medium",IF($F137&gt;=5,"Low",IF($F137&gt;0,"Very Low","")))))</f>
        <v/>
      </c>
      <c r="H137" s="5" t="n"/>
    </row>
    <row r="138">
      <c r="B138" s="6" t="n"/>
      <c r="F138">
        <f>D138*E138</f>
        <v/>
      </c>
      <c r="G138">
        <f>IF($F138&gt;=20,"Critical",IF($F138&gt;=15,"High",IF($F138&gt;=10,"Medium",IF($F138&gt;=5,"Low",IF($F138&gt;0,"Very Low","")))))</f>
        <v/>
      </c>
      <c r="H138" s="5" t="n"/>
    </row>
    <row r="139">
      <c r="B139" s="6" t="n"/>
      <c r="F139">
        <f>D139*E139</f>
        <v/>
      </c>
      <c r="G139">
        <f>IF($F139&gt;=20,"Critical",IF($F139&gt;=15,"High",IF($F139&gt;=10,"Medium",IF($F139&gt;=5,"Low",IF($F139&gt;0,"Very Low","")))))</f>
        <v/>
      </c>
      <c r="H139" s="5" t="n"/>
    </row>
    <row r="140">
      <c r="B140" s="6" t="n"/>
      <c r="F140">
        <f>D140*E140</f>
        <v/>
      </c>
      <c r="G140">
        <f>IF($F140&gt;=20,"Critical",IF($F140&gt;=15,"High",IF($F140&gt;=10,"Medium",IF($F140&gt;=5,"Low",IF($F140&gt;0,"Very Low","")))))</f>
        <v/>
      </c>
      <c r="H140" s="5" t="n"/>
    </row>
    <row r="141">
      <c r="B141" s="6" t="n"/>
      <c r="F141">
        <f>D141*E141</f>
        <v/>
      </c>
      <c r="G141">
        <f>IF($F141&gt;=20,"Critical",IF($F141&gt;=15,"High",IF($F141&gt;=10,"Medium",IF($F141&gt;=5,"Low",IF($F141&gt;0,"Very Low","")))))</f>
        <v/>
      </c>
      <c r="H141" s="5" t="n"/>
    </row>
    <row r="142">
      <c r="B142" s="6" t="n"/>
      <c r="F142">
        <f>D142*E142</f>
        <v/>
      </c>
      <c r="G142">
        <f>IF($F142&gt;=20,"Critical",IF($F142&gt;=15,"High",IF($F142&gt;=10,"Medium",IF($F142&gt;=5,"Low",IF($F142&gt;0,"Very Low","")))))</f>
        <v/>
      </c>
      <c r="H142" s="5" t="n"/>
    </row>
    <row r="143">
      <c r="B143" s="6" t="n"/>
      <c r="F143">
        <f>D143*E143</f>
        <v/>
      </c>
      <c r="G143">
        <f>IF($F143&gt;=20,"Critical",IF($F143&gt;=15,"High",IF($F143&gt;=10,"Medium",IF($F143&gt;=5,"Low",IF($F143&gt;0,"Very Low","")))))</f>
        <v/>
      </c>
      <c r="H143" s="5" t="n"/>
    </row>
    <row r="144">
      <c r="B144" s="6" t="n"/>
      <c r="F144">
        <f>D144*E144</f>
        <v/>
      </c>
      <c r="G144">
        <f>IF($F144&gt;=20,"Critical",IF($F144&gt;=15,"High",IF($F144&gt;=10,"Medium",IF($F144&gt;=5,"Low",IF($F144&gt;0,"Very Low","")))))</f>
        <v/>
      </c>
      <c r="H144" s="5" t="n"/>
    </row>
    <row r="145">
      <c r="B145" s="6" t="n"/>
      <c r="F145">
        <f>D145*E145</f>
        <v/>
      </c>
      <c r="G145">
        <f>IF($F145&gt;=20,"Critical",IF($F145&gt;=15,"High",IF($F145&gt;=10,"Medium",IF($F145&gt;=5,"Low",IF($F145&gt;0,"Very Low","")))))</f>
        <v/>
      </c>
      <c r="H145" s="5" t="n"/>
    </row>
    <row r="146">
      <c r="B146" s="6" t="n"/>
      <c r="F146">
        <f>D146*E146</f>
        <v/>
      </c>
      <c r="G146">
        <f>IF($F146&gt;=20,"Critical",IF($F146&gt;=15,"High",IF($F146&gt;=10,"Medium",IF($F146&gt;=5,"Low",IF($F146&gt;0,"Very Low","")))))</f>
        <v/>
      </c>
      <c r="H146" s="5" t="n"/>
    </row>
    <row r="147">
      <c r="B147" s="6" t="n"/>
      <c r="F147">
        <f>D147*E147</f>
        <v/>
      </c>
      <c r="G147">
        <f>IF($F147&gt;=20,"Critical",IF($F147&gt;=15,"High",IF($F147&gt;=10,"Medium",IF($F147&gt;=5,"Low",IF($F147&gt;0,"Very Low","")))))</f>
        <v/>
      </c>
      <c r="H147" s="5" t="n"/>
    </row>
    <row r="148">
      <c r="B148" s="6" t="n"/>
      <c r="F148">
        <f>D148*E148</f>
        <v/>
      </c>
      <c r="G148">
        <f>IF($F148&gt;=20,"Critical",IF($F148&gt;=15,"High",IF($F148&gt;=10,"Medium",IF($F148&gt;=5,"Low",IF($F148&gt;0,"Very Low","")))))</f>
        <v/>
      </c>
      <c r="H148" s="5" t="n"/>
    </row>
    <row r="149">
      <c r="B149" s="6" t="n"/>
      <c r="F149">
        <f>D149*E149</f>
        <v/>
      </c>
      <c r="G149">
        <f>IF($F149&gt;=20,"Critical",IF($F149&gt;=15,"High",IF($F149&gt;=10,"Medium",IF($F149&gt;=5,"Low",IF($F149&gt;0,"Very Low","")))))</f>
        <v/>
      </c>
      <c r="H149" s="5" t="n"/>
    </row>
    <row r="150">
      <c r="B150" s="6" t="n"/>
      <c r="F150">
        <f>D150*E150</f>
        <v/>
      </c>
      <c r="G150">
        <f>IF($F150&gt;=20,"Critical",IF($F150&gt;=15,"High",IF($F150&gt;=10,"Medium",IF($F150&gt;=5,"Low",IF($F150&gt;0,"Very Low","")))))</f>
        <v/>
      </c>
      <c r="H150" s="5" t="n"/>
    </row>
    <row r="151">
      <c r="B151" s="6" t="n"/>
      <c r="F151">
        <f>D151*E151</f>
        <v/>
      </c>
      <c r="G151">
        <f>IF($F151&gt;=20,"Critical",IF($F151&gt;=15,"High",IF($F151&gt;=10,"Medium",IF($F151&gt;=5,"Low",IF($F151&gt;0,"Very Low","")))))</f>
        <v/>
      </c>
      <c r="H151" s="5" t="n"/>
    </row>
    <row r="152">
      <c r="B152" s="6" t="n"/>
      <c r="F152">
        <f>D152*E152</f>
        <v/>
      </c>
      <c r="G152">
        <f>IF($F152&gt;=20,"Critical",IF($F152&gt;=15,"High",IF($F152&gt;=10,"Medium",IF($F152&gt;=5,"Low",IF($F152&gt;0,"Very Low","")))))</f>
        <v/>
      </c>
      <c r="H152" s="5" t="n"/>
    </row>
    <row r="153">
      <c r="B153" s="6" t="n"/>
      <c r="F153">
        <f>D153*E153</f>
        <v/>
      </c>
      <c r="G153">
        <f>IF($F153&gt;=20,"Critical",IF($F153&gt;=15,"High",IF($F153&gt;=10,"Medium",IF($F153&gt;=5,"Low",IF($F153&gt;0,"Very Low","")))))</f>
        <v/>
      </c>
      <c r="H153" s="5" t="n"/>
    </row>
    <row r="154">
      <c r="B154" s="6" t="n"/>
      <c r="F154">
        <f>D154*E154</f>
        <v/>
      </c>
      <c r="G154">
        <f>IF($F154&gt;=20,"Critical",IF($F154&gt;=15,"High",IF($F154&gt;=10,"Medium",IF($F154&gt;=5,"Low",IF($F154&gt;0,"Very Low","")))))</f>
        <v/>
      </c>
      <c r="H154" s="5" t="n"/>
    </row>
    <row r="155">
      <c r="B155" s="6" t="n"/>
      <c r="F155">
        <f>D155*E155</f>
        <v/>
      </c>
      <c r="G155">
        <f>IF($F155&gt;=20,"Critical",IF($F155&gt;=15,"High",IF($F155&gt;=10,"Medium",IF($F155&gt;=5,"Low",IF($F155&gt;0,"Very Low","")))))</f>
        <v/>
      </c>
      <c r="H155" s="5" t="n"/>
    </row>
    <row r="156">
      <c r="B156" s="6" t="n"/>
      <c r="F156">
        <f>D156*E156</f>
        <v/>
      </c>
      <c r="G156">
        <f>IF($F156&gt;=20,"Critical",IF($F156&gt;=15,"High",IF($F156&gt;=10,"Medium",IF($F156&gt;=5,"Low",IF($F156&gt;0,"Very Low","")))))</f>
        <v/>
      </c>
      <c r="H156" s="5" t="n"/>
    </row>
    <row r="157">
      <c r="B157" s="6" t="n"/>
      <c r="F157">
        <f>D157*E157</f>
        <v/>
      </c>
      <c r="G157">
        <f>IF($F157&gt;=20,"Critical",IF($F157&gt;=15,"High",IF($F157&gt;=10,"Medium",IF($F157&gt;=5,"Low",IF($F157&gt;0,"Very Low","")))))</f>
        <v/>
      </c>
      <c r="H157" s="5" t="n"/>
    </row>
    <row r="158">
      <c r="B158" s="6" t="n"/>
      <c r="F158">
        <f>D158*E158</f>
        <v/>
      </c>
      <c r="G158">
        <f>IF($F158&gt;=20,"Critical",IF($F158&gt;=15,"High",IF($F158&gt;=10,"Medium",IF($F158&gt;=5,"Low",IF($F158&gt;0,"Very Low","")))))</f>
        <v/>
      </c>
      <c r="H158" s="5" t="n"/>
    </row>
    <row r="159">
      <c r="B159" s="6" t="n"/>
      <c r="F159">
        <f>D159*E159</f>
        <v/>
      </c>
      <c r="G159">
        <f>IF($F159&gt;=20,"Critical",IF($F159&gt;=15,"High",IF($F159&gt;=10,"Medium",IF($F159&gt;=5,"Low",IF($F159&gt;0,"Very Low","")))))</f>
        <v/>
      </c>
      <c r="H159" s="5" t="n"/>
    </row>
    <row r="160">
      <c r="B160" s="6" t="n"/>
      <c r="F160">
        <f>D160*E160</f>
        <v/>
      </c>
      <c r="G160">
        <f>IF($F160&gt;=20,"Critical",IF($F160&gt;=15,"High",IF($F160&gt;=10,"Medium",IF($F160&gt;=5,"Low",IF($F160&gt;0,"Very Low","")))))</f>
        <v/>
      </c>
      <c r="H160" s="5" t="n"/>
    </row>
    <row r="161">
      <c r="B161" s="6" t="n"/>
      <c r="F161">
        <f>D161*E161</f>
        <v/>
      </c>
      <c r="G161">
        <f>IF($F161&gt;=20,"Critical",IF($F161&gt;=15,"High",IF($F161&gt;=10,"Medium",IF($F161&gt;=5,"Low",IF($F161&gt;0,"Very Low","")))))</f>
        <v/>
      </c>
      <c r="H161" s="5" t="n"/>
    </row>
    <row r="162">
      <c r="B162" s="6" t="n"/>
      <c r="F162">
        <f>D162*E162</f>
        <v/>
      </c>
      <c r="G162">
        <f>IF($F162&gt;=20,"Critical",IF($F162&gt;=15,"High",IF($F162&gt;=10,"Medium",IF($F162&gt;=5,"Low",IF($F162&gt;0,"Very Low","")))))</f>
        <v/>
      </c>
      <c r="H162" s="5" t="n"/>
    </row>
    <row r="163">
      <c r="B163" s="6" t="n"/>
      <c r="F163">
        <f>D163*E163</f>
        <v/>
      </c>
      <c r="G163">
        <f>IF($F163&gt;=20,"Critical",IF($F163&gt;=15,"High",IF($F163&gt;=10,"Medium",IF($F163&gt;=5,"Low",IF($F163&gt;0,"Very Low","")))))</f>
        <v/>
      </c>
      <c r="H163" s="5" t="n"/>
    </row>
    <row r="164">
      <c r="B164" s="6" t="n"/>
      <c r="F164">
        <f>D164*E164</f>
        <v/>
      </c>
      <c r="G164">
        <f>IF($F164&gt;=20,"Critical",IF($F164&gt;=15,"High",IF($F164&gt;=10,"Medium",IF($F164&gt;=5,"Low",IF($F164&gt;0,"Very Low","")))))</f>
        <v/>
      </c>
      <c r="H164" s="5" t="n"/>
    </row>
    <row r="165">
      <c r="B165" s="6" t="n"/>
      <c r="F165">
        <f>D165*E165</f>
        <v/>
      </c>
      <c r="G165">
        <f>IF($F165&gt;=20,"Critical",IF($F165&gt;=15,"High",IF($F165&gt;=10,"Medium",IF($F165&gt;=5,"Low",IF($F165&gt;0,"Very Low","")))))</f>
        <v/>
      </c>
      <c r="H165" s="5" t="n"/>
    </row>
    <row r="166">
      <c r="B166" s="6" t="n"/>
      <c r="F166">
        <f>D166*E166</f>
        <v/>
      </c>
      <c r="G166">
        <f>IF($F166&gt;=20,"Critical",IF($F166&gt;=15,"High",IF($F166&gt;=10,"Medium",IF($F166&gt;=5,"Low",IF($F166&gt;0,"Very Low","")))))</f>
        <v/>
      </c>
      <c r="H166" s="5" t="n"/>
    </row>
    <row r="167">
      <c r="B167" s="6" t="n"/>
      <c r="F167">
        <f>D167*E167</f>
        <v/>
      </c>
      <c r="G167">
        <f>IF($F167&gt;=20,"Critical",IF($F167&gt;=15,"High",IF($F167&gt;=10,"Medium",IF($F167&gt;=5,"Low",IF($F167&gt;0,"Very Low","")))))</f>
        <v/>
      </c>
      <c r="H167" s="5" t="n"/>
    </row>
    <row r="168">
      <c r="B168" s="6" t="n"/>
      <c r="F168">
        <f>D168*E168</f>
        <v/>
      </c>
      <c r="G168">
        <f>IF($F168&gt;=20,"Critical",IF($F168&gt;=15,"High",IF($F168&gt;=10,"Medium",IF($F168&gt;=5,"Low",IF($F168&gt;0,"Very Low","")))))</f>
        <v/>
      </c>
      <c r="H168" s="5" t="n"/>
    </row>
    <row r="169">
      <c r="B169" s="6" t="n"/>
      <c r="F169">
        <f>D169*E169</f>
        <v/>
      </c>
      <c r="G169">
        <f>IF($F169&gt;=20,"Critical",IF($F169&gt;=15,"High",IF($F169&gt;=10,"Medium",IF($F169&gt;=5,"Low",IF($F169&gt;0,"Very Low","")))))</f>
        <v/>
      </c>
      <c r="H169" s="5" t="n"/>
    </row>
    <row r="170">
      <c r="B170" s="6" t="n"/>
      <c r="F170">
        <f>D170*E170</f>
        <v/>
      </c>
      <c r="G170">
        <f>IF($F170&gt;=20,"Critical",IF($F170&gt;=15,"High",IF($F170&gt;=10,"Medium",IF($F170&gt;=5,"Low",IF($F170&gt;0,"Very Low","")))))</f>
        <v/>
      </c>
      <c r="H170" s="5" t="n"/>
    </row>
    <row r="171">
      <c r="B171" s="6" t="n"/>
      <c r="F171">
        <f>D171*E171</f>
        <v/>
      </c>
      <c r="G171">
        <f>IF($F171&gt;=20,"Critical",IF($F171&gt;=15,"High",IF($F171&gt;=10,"Medium",IF($F171&gt;=5,"Low",IF($F171&gt;0,"Very Low","")))))</f>
        <v/>
      </c>
      <c r="H171" s="5" t="n"/>
    </row>
    <row r="172">
      <c r="B172" s="6" t="n"/>
      <c r="F172">
        <f>D172*E172</f>
        <v/>
      </c>
      <c r="G172">
        <f>IF($F172&gt;=20,"Critical",IF($F172&gt;=15,"High",IF($F172&gt;=10,"Medium",IF($F172&gt;=5,"Low",IF($F172&gt;0,"Very Low","")))))</f>
        <v/>
      </c>
      <c r="H172" s="5" t="n"/>
    </row>
    <row r="173">
      <c r="B173" s="6" t="n"/>
      <c r="F173">
        <f>D173*E173</f>
        <v/>
      </c>
      <c r="G173">
        <f>IF($F173&gt;=20,"Critical",IF($F173&gt;=15,"High",IF($F173&gt;=10,"Medium",IF($F173&gt;=5,"Low",IF($F173&gt;0,"Very Low","")))))</f>
        <v/>
      </c>
      <c r="H173" s="5" t="n"/>
    </row>
    <row r="174">
      <c r="B174" s="6" t="n"/>
      <c r="F174">
        <f>D174*E174</f>
        <v/>
      </c>
      <c r="G174">
        <f>IF($F174&gt;=20,"Critical",IF($F174&gt;=15,"High",IF($F174&gt;=10,"Medium",IF($F174&gt;=5,"Low",IF($F174&gt;0,"Very Low","")))))</f>
        <v/>
      </c>
      <c r="H174" s="5" t="n"/>
    </row>
    <row r="175">
      <c r="B175" s="6" t="n"/>
      <c r="F175">
        <f>D175*E175</f>
        <v/>
      </c>
      <c r="G175">
        <f>IF($F175&gt;=20,"Critical",IF($F175&gt;=15,"High",IF($F175&gt;=10,"Medium",IF($F175&gt;=5,"Low",IF($F175&gt;0,"Very Low","")))))</f>
        <v/>
      </c>
      <c r="H175" s="5" t="n"/>
    </row>
    <row r="176">
      <c r="B176" s="6" t="n"/>
      <c r="F176">
        <f>D176*E176</f>
        <v/>
      </c>
      <c r="G176">
        <f>IF($F176&gt;=20,"Critical",IF($F176&gt;=15,"High",IF($F176&gt;=10,"Medium",IF($F176&gt;=5,"Low",IF($F176&gt;0,"Very Low","")))))</f>
        <v/>
      </c>
      <c r="H176" s="5" t="n"/>
    </row>
    <row r="177">
      <c r="B177" s="6" t="n"/>
      <c r="F177">
        <f>D177*E177</f>
        <v/>
      </c>
      <c r="G177">
        <f>IF($F177&gt;=20,"Critical",IF($F177&gt;=15,"High",IF($F177&gt;=10,"Medium",IF($F177&gt;=5,"Low",IF($F177&gt;0,"Very Low","")))))</f>
        <v/>
      </c>
      <c r="H177" s="5" t="n"/>
    </row>
    <row r="178">
      <c r="B178" s="6" t="n"/>
      <c r="F178">
        <f>D178*E178</f>
        <v/>
      </c>
      <c r="G178">
        <f>IF($F178&gt;=20,"Critical",IF($F178&gt;=15,"High",IF($F178&gt;=10,"Medium",IF($F178&gt;=5,"Low",IF($F178&gt;0,"Very Low","")))))</f>
        <v/>
      </c>
      <c r="H178" s="5" t="n"/>
    </row>
    <row r="179">
      <c r="B179" s="6" t="n"/>
      <c r="F179">
        <f>D179*E179</f>
        <v/>
      </c>
      <c r="G179">
        <f>IF($F179&gt;=20,"Critical",IF($F179&gt;=15,"High",IF($F179&gt;=10,"Medium",IF($F179&gt;=5,"Low",IF($F179&gt;0,"Very Low","")))))</f>
        <v/>
      </c>
      <c r="H179" s="5" t="n"/>
    </row>
    <row r="180">
      <c r="B180" s="6" t="n"/>
      <c r="F180">
        <f>D180*E180</f>
        <v/>
      </c>
      <c r="G180">
        <f>IF($F180&gt;=20,"Critical",IF($F180&gt;=15,"High",IF($F180&gt;=10,"Medium",IF($F180&gt;=5,"Low",IF($F180&gt;0,"Very Low","")))))</f>
        <v/>
      </c>
      <c r="H180" s="5" t="n"/>
    </row>
    <row r="181">
      <c r="B181" s="6" t="n"/>
      <c r="F181">
        <f>D181*E181</f>
        <v/>
      </c>
      <c r="G181">
        <f>IF($F181&gt;=20,"Critical",IF($F181&gt;=15,"High",IF($F181&gt;=10,"Medium",IF($F181&gt;=5,"Low",IF($F181&gt;0,"Very Low","")))))</f>
        <v/>
      </c>
      <c r="H181" s="5" t="n"/>
    </row>
    <row r="182">
      <c r="B182" s="6" t="n"/>
      <c r="F182">
        <f>D182*E182</f>
        <v/>
      </c>
      <c r="G182">
        <f>IF($F182&gt;=20,"Critical",IF($F182&gt;=15,"High",IF($F182&gt;=10,"Medium",IF($F182&gt;=5,"Low",IF($F182&gt;0,"Very Low","")))))</f>
        <v/>
      </c>
      <c r="H182" s="5" t="n"/>
    </row>
    <row r="183">
      <c r="B183" s="6" t="n"/>
      <c r="F183">
        <f>D183*E183</f>
        <v/>
      </c>
      <c r="G183">
        <f>IF($F183&gt;=20,"Critical",IF($F183&gt;=15,"High",IF($F183&gt;=10,"Medium",IF($F183&gt;=5,"Low",IF($F183&gt;0,"Very Low","")))))</f>
        <v/>
      </c>
      <c r="H183" s="5" t="n"/>
    </row>
    <row r="184">
      <c r="B184" s="6" t="n"/>
      <c r="F184">
        <f>D184*E184</f>
        <v/>
      </c>
      <c r="G184">
        <f>IF($F184&gt;=20,"Critical",IF($F184&gt;=15,"High",IF($F184&gt;=10,"Medium",IF($F184&gt;=5,"Low",IF($F184&gt;0,"Very Low","")))))</f>
        <v/>
      </c>
      <c r="H184" s="5" t="n"/>
    </row>
    <row r="185">
      <c r="B185" s="6" t="n"/>
      <c r="F185">
        <f>D185*E185</f>
        <v/>
      </c>
      <c r="G185">
        <f>IF($F185&gt;=20,"Critical",IF($F185&gt;=15,"High",IF($F185&gt;=10,"Medium",IF($F185&gt;=5,"Low",IF($F185&gt;0,"Very Low","")))))</f>
        <v/>
      </c>
      <c r="H185" s="5" t="n"/>
    </row>
    <row r="186">
      <c r="B186" s="6" t="n"/>
      <c r="F186">
        <f>D186*E186</f>
        <v/>
      </c>
      <c r="G186">
        <f>IF($F186&gt;=20,"Critical",IF($F186&gt;=15,"High",IF($F186&gt;=10,"Medium",IF($F186&gt;=5,"Low",IF($F186&gt;0,"Very Low","")))))</f>
        <v/>
      </c>
      <c r="H186" s="5" t="n"/>
    </row>
    <row r="187">
      <c r="B187" s="6" t="n"/>
      <c r="F187">
        <f>D187*E187</f>
        <v/>
      </c>
      <c r="G187">
        <f>IF($F187&gt;=20,"Critical",IF($F187&gt;=15,"High",IF($F187&gt;=10,"Medium",IF($F187&gt;=5,"Low",IF($F187&gt;0,"Very Low","")))))</f>
        <v/>
      </c>
      <c r="H187" s="5" t="n"/>
    </row>
    <row r="188">
      <c r="B188" s="6" t="n"/>
      <c r="F188">
        <f>D188*E188</f>
        <v/>
      </c>
      <c r="G188">
        <f>IF($F188&gt;=20,"Critical",IF($F188&gt;=15,"High",IF($F188&gt;=10,"Medium",IF($F188&gt;=5,"Low",IF($F188&gt;0,"Very Low","")))))</f>
        <v/>
      </c>
      <c r="H188" s="5" t="n"/>
    </row>
    <row r="189">
      <c r="B189" s="6" t="n"/>
      <c r="F189">
        <f>D189*E189</f>
        <v/>
      </c>
      <c r="G189">
        <f>IF($F189&gt;=20,"Critical",IF($F189&gt;=15,"High",IF($F189&gt;=10,"Medium",IF($F189&gt;=5,"Low",IF($F189&gt;0,"Very Low","")))))</f>
        <v/>
      </c>
      <c r="H189" s="5" t="n"/>
    </row>
    <row r="190">
      <c r="B190" s="6" t="n"/>
      <c r="F190">
        <f>D190*E190</f>
        <v/>
      </c>
      <c r="G190">
        <f>IF($F190&gt;=20,"Critical",IF($F190&gt;=15,"High",IF($F190&gt;=10,"Medium",IF($F190&gt;=5,"Low",IF($F190&gt;0,"Very Low","")))))</f>
        <v/>
      </c>
      <c r="H190" s="5" t="n"/>
    </row>
    <row r="191">
      <c r="B191" s="6" t="n"/>
      <c r="F191">
        <f>D191*E191</f>
        <v/>
      </c>
      <c r="G191">
        <f>IF($F191&gt;=20,"Critical",IF($F191&gt;=15,"High",IF($F191&gt;=10,"Medium",IF($F191&gt;=5,"Low",IF($F191&gt;0,"Very Low","")))))</f>
        <v/>
      </c>
      <c r="H191" s="5" t="n"/>
    </row>
    <row r="192">
      <c r="B192" s="6" t="n"/>
      <c r="F192">
        <f>D192*E192</f>
        <v/>
      </c>
      <c r="G192">
        <f>IF($F192&gt;=20,"Critical",IF($F192&gt;=15,"High",IF($F192&gt;=10,"Medium",IF($F192&gt;=5,"Low",IF($F192&gt;0,"Very Low","")))))</f>
        <v/>
      </c>
      <c r="H192" s="5" t="n"/>
    </row>
    <row r="193">
      <c r="B193" s="6" t="n"/>
      <c r="F193">
        <f>D193*E193</f>
        <v/>
      </c>
      <c r="G193">
        <f>IF($F193&gt;=20,"Critical",IF($F193&gt;=15,"High",IF($F193&gt;=10,"Medium",IF($F193&gt;=5,"Low",IF($F193&gt;0,"Very Low","")))))</f>
        <v/>
      </c>
      <c r="H193" s="5" t="n"/>
    </row>
    <row r="194">
      <c r="B194" s="6" t="n"/>
      <c r="F194">
        <f>D194*E194</f>
        <v/>
      </c>
      <c r="G194">
        <f>IF($F194&gt;=20,"Critical",IF($F194&gt;=15,"High",IF($F194&gt;=10,"Medium",IF($F194&gt;=5,"Low",IF($F194&gt;0,"Very Low","")))))</f>
        <v/>
      </c>
      <c r="H194" s="5" t="n"/>
    </row>
    <row r="195">
      <c r="B195" s="6" t="n"/>
      <c r="F195">
        <f>D195*E195</f>
        <v/>
      </c>
      <c r="G195">
        <f>IF($F195&gt;=20,"Critical",IF($F195&gt;=15,"High",IF($F195&gt;=10,"Medium",IF($F195&gt;=5,"Low",IF($F195&gt;0,"Very Low","")))))</f>
        <v/>
      </c>
      <c r="H195" s="5" t="n"/>
    </row>
    <row r="196">
      <c r="B196" s="6" t="n"/>
      <c r="F196">
        <f>D196*E196</f>
        <v/>
      </c>
      <c r="G196">
        <f>IF($F196&gt;=20,"Critical",IF($F196&gt;=15,"High",IF($F196&gt;=10,"Medium",IF($F196&gt;=5,"Low",IF($F196&gt;0,"Very Low","")))))</f>
        <v/>
      </c>
      <c r="H196" s="5" t="n"/>
    </row>
    <row r="197">
      <c r="B197" s="6" t="n"/>
      <c r="F197">
        <f>D197*E197</f>
        <v/>
      </c>
      <c r="G197">
        <f>IF($F197&gt;=20,"Critical",IF($F197&gt;=15,"High",IF($F197&gt;=10,"Medium",IF($F197&gt;=5,"Low",IF($F197&gt;0,"Very Low","")))))</f>
        <v/>
      </c>
      <c r="H197" s="5" t="n"/>
    </row>
    <row r="198">
      <c r="B198" s="6" t="n"/>
      <c r="F198">
        <f>D198*E198</f>
        <v/>
      </c>
      <c r="G198">
        <f>IF($F198&gt;=20,"Critical",IF($F198&gt;=15,"High",IF($F198&gt;=10,"Medium",IF($F198&gt;=5,"Low",IF($F198&gt;0,"Very Low","")))))</f>
        <v/>
      </c>
      <c r="H198" s="5" t="n"/>
    </row>
    <row r="199">
      <c r="B199" s="6" t="n"/>
      <c r="F199">
        <f>D199*E199</f>
        <v/>
      </c>
      <c r="G199">
        <f>IF($F199&gt;=20,"Critical",IF($F199&gt;=15,"High",IF($F199&gt;=10,"Medium",IF($F199&gt;=5,"Low",IF($F199&gt;0,"Very Low","")))))</f>
        <v/>
      </c>
      <c r="H199" s="5" t="n"/>
    </row>
    <row r="200">
      <c r="B200" s="6" t="n"/>
      <c r="F200">
        <f>D200*E200</f>
        <v/>
      </c>
      <c r="G200">
        <f>IF($F200&gt;=20,"Critical",IF($F200&gt;=15,"High",IF($F200&gt;=10,"Medium",IF($F200&gt;=5,"Low",IF($F200&gt;0,"Very Low","")))))</f>
        <v/>
      </c>
      <c r="H200" s="5" t="n"/>
    </row>
    <row r="201">
      <c r="B201" s="6" t="n"/>
      <c r="F201">
        <f>D201*E201</f>
        <v/>
      </c>
      <c r="G201">
        <f>IF($F201&gt;=20,"Critical",IF($F201&gt;=15,"High",IF($F201&gt;=10,"Medium",IF($F201&gt;=5,"Low",IF($F201&gt;0,"Very Low","")))))</f>
        <v/>
      </c>
      <c r="H201" s="5" t="n"/>
    </row>
    <row r="202">
      <c r="B202" s="6" t="n"/>
      <c r="F202">
        <f>D202*E202</f>
        <v/>
      </c>
      <c r="G202">
        <f>IF($F202&gt;=20,"Critical",IF($F202&gt;=15,"High",IF($F202&gt;=10,"Medium",IF($F202&gt;=5,"Low",IF($F202&gt;0,"Very Low","")))))</f>
        <v/>
      </c>
      <c r="H202" s="5" t="n"/>
    </row>
    <row r="203">
      <c r="B203" s="6" t="n"/>
      <c r="F203">
        <f>D203*E203</f>
        <v/>
      </c>
      <c r="G203">
        <f>IF($F203&gt;=20,"Critical",IF($F203&gt;=15,"High",IF($F203&gt;=10,"Medium",IF($F203&gt;=5,"Low",IF($F203&gt;0,"Very Low","")))))</f>
        <v/>
      </c>
      <c r="H203" s="5" t="n"/>
    </row>
    <row r="204">
      <c r="B204" s="6" t="n"/>
      <c r="F204">
        <f>D204*E204</f>
        <v/>
      </c>
      <c r="G204">
        <f>IF($F204&gt;=20,"Critical",IF($F204&gt;=15,"High",IF($F204&gt;=10,"Medium",IF($F204&gt;=5,"Low",IF($F204&gt;0,"Very Low","")))))</f>
        <v/>
      </c>
      <c r="H204" s="5" t="n"/>
    </row>
    <row r="205">
      <c r="B205" s="6" t="n"/>
      <c r="F205">
        <f>D205*E205</f>
        <v/>
      </c>
      <c r="G205">
        <f>IF($F205&gt;=20,"Critical",IF($F205&gt;=15,"High",IF($F205&gt;=10,"Medium",IF($F205&gt;=5,"Low",IF($F205&gt;0,"Very Low","")))))</f>
        <v/>
      </c>
      <c r="H205" s="5" t="n"/>
    </row>
    <row r="206">
      <c r="B206" s="6" t="n"/>
      <c r="F206">
        <f>D206*E206</f>
        <v/>
      </c>
      <c r="G206">
        <f>IF($F206&gt;=20,"Critical",IF($F206&gt;=15,"High",IF($F206&gt;=10,"Medium",IF($F206&gt;=5,"Low",IF($F206&gt;0,"Very Low","")))))</f>
        <v/>
      </c>
      <c r="H206" s="5" t="n"/>
    </row>
    <row r="207">
      <c r="B207" s="6" t="n"/>
      <c r="F207">
        <f>D207*E207</f>
        <v/>
      </c>
      <c r="G207">
        <f>IF($F207&gt;=20,"Critical",IF($F207&gt;=15,"High",IF($F207&gt;=10,"Medium",IF($F207&gt;=5,"Low",IF($F207&gt;0,"Very Low","")))))</f>
        <v/>
      </c>
      <c r="H207" s="5" t="n"/>
    </row>
    <row r="208">
      <c r="B208" s="6" t="n"/>
      <c r="F208">
        <f>D208*E208</f>
        <v/>
      </c>
      <c r="G208">
        <f>IF($F208&gt;=20,"Critical",IF($F208&gt;=15,"High",IF($F208&gt;=10,"Medium",IF($F208&gt;=5,"Low",IF($F208&gt;0,"Very Low","")))))</f>
        <v/>
      </c>
      <c r="H208" s="5" t="n"/>
    </row>
    <row r="209">
      <c r="B209" s="6" t="n"/>
      <c r="F209">
        <f>D209*E209</f>
        <v/>
      </c>
      <c r="G209">
        <f>IF($F209&gt;=20,"Critical",IF($F209&gt;=15,"High",IF($F209&gt;=10,"Medium",IF($F209&gt;=5,"Low",IF($F209&gt;0,"Very Low","")))))</f>
        <v/>
      </c>
      <c r="H209" s="5" t="n"/>
    </row>
    <row r="210">
      <c r="B210" s="6" t="n"/>
      <c r="F210">
        <f>D210*E210</f>
        <v/>
      </c>
      <c r="G210">
        <f>IF($F210&gt;=20,"Critical",IF($F210&gt;=15,"High",IF($F210&gt;=10,"Medium",IF($F210&gt;=5,"Low",IF($F210&gt;0,"Very Low","")))))</f>
        <v/>
      </c>
      <c r="H210" s="5" t="n"/>
    </row>
    <row r="211">
      <c r="B211" s="6" t="n"/>
      <c r="F211">
        <f>D211*E211</f>
        <v/>
      </c>
      <c r="G211">
        <f>IF($F211&gt;=20,"Critical",IF($F211&gt;=15,"High",IF($F211&gt;=10,"Medium",IF($F211&gt;=5,"Low",IF($F211&gt;0,"Very Low","")))))</f>
        <v/>
      </c>
      <c r="H211" s="5" t="n"/>
    </row>
    <row r="212">
      <c r="B212" s="6" t="n"/>
      <c r="F212">
        <f>D212*E212</f>
        <v/>
      </c>
      <c r="G212">
        <f>IF($F212&gt;=20,"Critical",IF($F212&gt;=15,"High",IF($F212&gt;=10,"Medium",IF($F212&gt;=5,"Low",IF($F212&gt;0,"Very Low","")))))</f>
        <v/>
      </c>
      <c r="H212" s="5" t="n"/>
    </row>
    <row r="213">
      <c r="B213" s="6" t="n"/>
      <c r="F213">
        <f>D213*E213</f>
        <v/>
      </c>
      <c r="G213">
        <f>IF($F213&gt;=20,"Critical",IF($F213&gt;=15,"High",IF($F213&gt;=10,"Medium",IF($F213&gt;=5,"Low",IF($F213&gt;0,"Very Low","")))))</f>
        <v/>
      </c>
      <c r="H213" s="5" t="n"/>
    </row>
    <row r="214">
      <c r="B214" s="6" t="n"/>
      <c r="F214">
        <f>D214*E214</f>
        <v/>
      </c>
      <c r="G214">
        <f>IF($F214&gt;=20,"Critical",IF($F214&gt;=15,"High",IF($F214&gt;=10,"Medium",IF($F214&gt;=5,"Low",IF($F214&gt;0,"Very Low","")))))</f>
        <v/>
      </c>
      <c r="H214" s="5" t="n"/>
    </row>
    <row r="215">
      <c r="B215" s="6" t="n"/>
      <c r="F215">
        <f>D215*E215</f>
        <v/>
      </c>
      <c r="G215">
        <f>IF($F215&gt;=20,"Critical",IF($F215&gt;=15,"High",IF($F215&gt;=10,"Medium",IF($F215&gt;=5,"Low",IF($F215&gt;0,"Very Low","")))))</f>
        <v/>
      </c>
      <c r="H215" s="5" t="n"/>
    </row>
    <row r="216">
      <c r="B216" s="6" t="n"/>
      <c r="F216">
        <f>D216*E216</f>
        <v/>
      </c>
      <c r="G216">
        <f>IF($F216&gt;=20,"Critical",IF($F216&gt;=15,"High",IF($F216&gt;=10,"Medium",IF($F216&gt;=5,"Low",IF($F216&gt;0,"Very Low","")))))</f>
        <v/>
      </c>
      <c r="H216" s="5" t="n"/>
    </row>
    <row r="217">
      <c r="B217" s="6" t="n"/>
      <c r="F217">
        <f>D217*E217</f>
        <v/>
      </c>
      <c r="G217">
        <f>IF($F217&gt;=20,"Critical",IF($F217&gt;=15,"High",IF($F217&gt;=10,"Medium",IF($F217&gt;=5,"Low",IF($F217&gt;0,"Very Low","")))))</f>
        <v/>
      </c>
      <c r="H217" s="5" t="n"/>
    </row>
    <row r="218">
      <c r="B218" s="6" t="n"/>
      <c r="F218">
        <f>D218*E218</f>
        <v/>
      </c>
      <c r="G218">
        <f>IF($F218&gt;=20,"Critical",IF($F218&gt;=15,"High",IF($F218&gt;=10,"Medium",IF($F218&gt;=5,"Low",IF($F218&gt;0,"Very Low","")))))</f>
        <v/>
      </c>
      <c r="H218" s="5" t="n"/>
    </row>
    <row r="219">
      <c r="B219" s="6" t="n"/>
      <c r="F219">
        <f>D219*E219</f>
        <v/>
      </c>
      <c r="G219">
        <f>IF($F219&gt;=20,"Critical",IF($F219&gt;=15,"High",IF($F219&gt;=10,"Medium",IF($F219&gt;=5,"Low",IF($F219&gt;0,"Very Low","")))))</f>
        <v/>
      </c>
      <c r="H219" s="5" t="n"/>
    </row>
    <row r="220">
      <c r="B220" s="6" t="n"/>
      <c r="F220">
        <f>D220*E220</f>
        <v/>
      </c>
      <c r="G220">
        <f>IF($F220&gt;=20,"Critical",IF($F220&gt;=15,"High",IF($F220&gt;=10,"Medium",IF($F220&gt;=5,"Low",IF($F220&gt;0,"Very Low","")))))</f>
        <v/>
      </c>
      <c r="H220" s="5" t="n"/>
    </row>
    <row r="221">
      <c r="B221" s="6" t="n"/>
      <c r="F221">
        <f>D221*E221</f>
        <v/>
      </c>
      <c r="G221">
        <f>IF($F221&gt;=20,"Critical",IF($F221&gt;=15,"High",IF($F221&gt;=10,"Medium",IF($F221&gt;=5,"Low",IF($F221&gt;0,"Very Low","")))))</f>
        <v/>
      </c>
      <c r="H221" s="5" t="n"/>
    </row>
    <row r="222">
      <c r="B222" s="6" t="n"/>
      <c r="F222">
        <f>D222*E222</f>
        <v/>
      </c>
      <c r="G222">
        <f>IF($F222&gt;=20,"Critical",IF($F222&gt;=15,"High",IF($F222&gt;=10,"Medium",IF($F222&gt;=5,"Low",IF($F222&gt;0,"Very Low","")))))</f>
        <v/>
      </c>
      <c r="H222" s="5" t="n"/>
    </row>
    <row r="223">
      <c r="B223" s="6" t="n"/>
      <c r="F223">
        <f>D223*E223</f>
        <v/>
      </c>
      <c r="G223">
        <f>IF($F223&gt;=20,"Critical",IF($F223&gt;=15,"High",IF($F223&gt;=10,"Medium",IF($F223&gt;=5,"Low",IF($F223&gt;0,"Very Low","")))))</f>
        <v/>
      </c>
      <c r="H223" s="5" t="n"/>
    </row>
    <row r="224">
      <c r="B224" s="6" t="n"/>
      <c r="F224">
        <f>D224*E224</f>
        <v/>
      </c>
      <c r="G224">
        <f>IF($F224&gt;=20,"Critical",IF($F224&gt;=15,"High",IF($F224&gt;=10,"Medium",IF($F224&gt;=5,"Low",IF($F224&gt;0,"Very Low","")))))</f>
        <v/>
      </c>
      <c r="H224" s="5" t="n"/>
    </row>
    <row r="225">
      <c r="B225" s="6" t="n"/>
      <c r="F225">
        <f>D225*E225</f>
        <v/>
      </c>
      <c r="G225">
        <f>IF($F225&gt;=20,"Critical",IF($F225&gt;=15,"High",IF($F225&gt;=10,"Medium",IF($F225&gt;=5,"Low",IF($F225&gt;0,"Very Low","")))))</f>
        <v/>
      </c>
      <c r="H225" s="5" t="n"/>
    </row>
    <row r="226">
      <c r="B226" s="6" t="n"/>
      <c r="F226">
        <f>D226*E226</f>
        <v/>
      </c>
      <c r="G226">
        <f>IF($F226&gt;=20,"Critical",IF($F226&gt;=15,"High",IF($F226&gt;=10,"Medium",IF($F226&gt;=5,"Low",IF($F226&gt;0,"Very Low","")))))</f>
        <v/>
      </c>
      <c r="H226" s="5" t="n"/>
    </row>
    <row r="227">
      <c r="B227" s="6" t="n"/>
      <c r="F227">
        <f>D227*E227</f>
        <v/>
      </c>
      <c r="G227">
        <f>IF($F227&gt;=20,"Critical",IF($F227&gt;=15,"High",IF($F227&gt;=10,"Medium",IF($F227&gt;=5,"Low",IF($F227&gt;0,"Very Low","")))))</f>
        <v/>
      </c>
      <c r="H227" s="5" t="n"/>
    </row>
    <row r="228">
      <c r="B228" s="6" t="n"/>
      <c r="F228">
        <f>D228*E228</f>
        <v/>
      </c>
      <c r="G228">
        <f>IF($F228&gt;=20,"Critical",IF($F228&gt;=15,"High",IF($F228&gt;=10,"Medium",IF($F228&gt;=5,"Low",IF($F228&gt;0,"Very Low","")))))</f>
        <v/>
      </c>
      <c r="H228" s="5" t="n"/>
    </row>
    <row r="229">
      <c r="B229" s="6" t="n"/>
      <c r="F229">
        <f>D229*E229</f>
        <v/>
      </c>
      <c r="G229">
        <f>IF($F229&gt;=20,"Critical",IF($F229&gt;=15,"High",IF($F229&gt;=10,"Medium",IF($F229&gt;=5,"Low",IF($F229&gt;0,"Very Low","")))))</f>
        <v/>
      </c>
      <c r="H229" s="5" t="n"/>
    </row>
    <row r="230">
      <c r="B230" s="6" t="n"/>
      <c r="F230">
        <f>D230*E230</f>
        <v/>
      </c>
      <c r="G230">
        <f>IF($F230&gt;=20,"Critical",IF($F230&gt;=15,"High",IF($F230&gt;=10,"Medium",IF($F230&gt;=5,"Low",IF($F230&gt;0,"Very Low","")))))</f>
        <v/>
      </c>
      <c r="H230" s="5" t="n"/>
    </row>
    <row r="231">
      <c r="B231" s="6" t="n"/>
      <c r="F231">
        <f>D231*E231</f>
        <v/>
      </c>
      <c r="G231">
        <f>IF($F231&gt;=20,"Critical",IF($F231&gt;=15,"High",IF($F231&gt;=10,"Medium",IF($F231&gt;=5,"Low",IF($F231&gt;0,"Very Low","")))))</f>
        <v/>
      </c>
      <c r="H231" s="5" t="n"/>
    </row>
    <row r="232">
      <c r="B232" s="6" t="n"/>
      <c r="F232">
        <f>D232*E232</f>
        <v/>
      </c>
      <c r="G232">
        <f>IF($F232&gt;=20,"Critical",IF($F232&gt;=15,"High",IF($F232&gt;=10,"Medium",IF($F232&gt;=5,"Low",IF($F232&gt;0,"Very Low","")))))</f>
        <v/>
      </c>
      <c r="H232" s="5" t="n"/>
    </row>
    <row r="233">
      <c r="B233" s="6" t="n"/>
      <c r="F233">
        <f>D233*E233</f>
        <v/>
      </c>
      <c r="G233">
        <f>IF($F233&gt;=20,"Critical",IF($F233&gt;=15,"High",IF($F233&gt;=10,"Medium",IF($F233&gt;=5,"Low",IF($F233&gt;0,"Very Low","")))))</f>
        <v/>
      </c>
      <c r="H233" s="5" t="n"/>
    </row>
    <row r="234">
      <c r="B234" s="6" t="n"/>
      <c r="F234">
        <f>D234*E234</f>
        <v/>
      </c>
      <c r="G234">
        <f>IF($F234&gt;=20,"Critical",IF($F234&gt;=15,"High",IF($F234&gt;=10,"Medium",IF($F234&gt;=5,"Low",IF($F234&gt;0,"Very Low","")))))</f>
        <v/>
      </c>
      <c r="H234" s="5" t="n"/>
    </row>
    <row r="235">
      <c r="B235" s="6" t="n"/>
      <c r="F235">
        <f>D235*E235</f>
        <v/>
      </c>
      <c r="G235">
        <f>IF($F235&gt;=20,"Critical",IF($F235&gt;=15,"High",IF($F235&gt;=10,"Medium",IF($F235&gt;=5,"Low",IF($F235&gt;0,"Very Low","")))))</f>
        <v/>
      </c>
      <c r="H235" s="5" t="n"/>
    </row>
    <row r="236">
      <c r="B236" s="6" t="n"/>
      <c r="F236">
        <f>D236*E236</f>
        <v/>
      </c>
      <c r="G236">
        <f>IF($F236&gt;=20,"Critical",IF($F236&gt;=15,"High",IF($F236&gt;=10,"Medium",IF($F236&gt;=5,"Low",IF($F236&gt;0,"Very Low","")))))</f>
        <v/>
      </c>
      <c r="H236" s="5" t="n"/>
    </row>
    <row r="237">
      <c r="B237" s="6" t="n"/>
      <c r="F237">
        <f>D237*E237</f>
        <v/>
      </c>
      <c r="G237">
        <f>IF($F237&gt;=20,"Critical",IF($F237&gt;=15,"High",IF($F237&gt;=10,"Medium",IF($F237&gt;=5,"Low",IF($F237&gt;0,"Very Low","")))))</f>
        <v/>
      </c>
      <c r="H237" s="5" t="n"/>
    </row>
    <row r="238">
      <c r="B238" s="6" t="n"/>
      <c r="F238">
        <f>D238*E238</f>
        <v/>
      </c>
      <c r="G238">
        <f>IF($F238&gt;=20,"Critical",IF($F238&gt;=15,"High",IF($F238&gt;=10,"Medium",IF($F238&gt;=5,"Low",IF($F238&gt;0,"Very Low","")))))</f>
        <v/>
      </c>
      <c r="H238" s="5" t="n"/>
    </row>
    <row r="239">
      <c r="B239" s="6" t="n"/>
      <c r="F239">
        <f>D239*E239</f>
        <v/>
      </c>
      <c r="G239">
        <f>IF($F239&gt;=20,"Critical",IF($F239&gt;=15,"High",IF($F239&gt;=10,"Medium",IF($F239&gt;=5,"Low",IF($F239&gt;0,"Very Low","")))))</f>
        <v/>
      </c>
      <c r="H239" s="5" t="n"/>
    </row>
    <row r="240">
      <c r="B240" s="6" t="n"/>
      <c r="F240">
        <f>D240*E240</f>
        <v/>
      </c>
      <c r="G240">
        <f>IF($F240&gt;=20,"Critical",IF($F240&gt;=15,"High",IF($F240&gt;=10,"Medium",IF($F240&gt;=5,"Low",IF($F240&gt;0,"Very Low","")))))</f>
        <v/>
      </c>
      <c r="H240" s="5" t="n"/>
    </row>
    <row r="241">
      <c r="B241" s="6" t="n"/>
      <c r="F241">
        <f>D241*E241</f>
        <v/>
      </c>
      <c r="G241">
        <f>IF($F241&gt;=20,"Critical",IF($F241&gt;=15,"High",IF($F241&gt;=10,"Medium",IF($F241&gt;=5,"Low",IF($F241&gt;0,"Very Low","")))))</f>
        <v/>
      </c>
      <c r="H241" s="5" t="n"/>
    </row>
    <row r="242">
      <c r="B242" s="6" t="n"/>
      <c r="F242">
        <f>D242*E242</f>
        <v/>
      </c>
      <c r="G242">
        <f>IF($F242&gt;=20,"Critical",IF($F242&gt;=15,"High",IF($F242&gt;=10,"Medium",IF($F242&gt;=5,"Low",IF($F242&gt;0,"Very Low","")))))</f>
        <v/>
      </c>
      <c r="H242" s="5" t="n"/>
    </row>
    <row r="243">
      <c r="B243" s="6" t="n"/>
      <c r="F243">
        <f>D243*E243</f>
        <v/>
      </c>
      <c r="G243">
        <f>IF($F243&gt;=20,"Critical",IF($F243&gt;=15,"High",IF($F243&gt;=10,"Medium",IF($F243&gt;=5,"Low",IF($F243&gt;0,"Very Low","")))))</f>
        <v/>
      </c>
      <c r="H243" s="5" t="n"/>
    </row>
    <row r="244">
      <c r="B244" s="6" t="n"/>
      <c r="F244">
        <f>D244*E244</f>
        <v/>
      </c>
      <c r="G244">
        <f>IF($F244&gt;=20,"Critical",IF($F244&gt;=15,"High",IF($F244&gt;=10,"Medium",IF($F244&gt;=5,"Low",IF($F244&gt;0,"Very Low","")))))</f>
        <v/>
      </c>
      <c r="H244" s="5" t="n"/>
    </row>
    <row r="245">
      <c r="B245" s="6" t="n"/>
      <c r="F245">
        <f>D245*E245</f>
        <v/>
      </c>
      <c r="G245">
        <f>IF($F245&gt;=20,"Critical",IF($F245&gt;=15,"High",IF($F245&gt;=10,"Medium",IF($F245&gt;=5,"Low",IF($F245&gt;0,"Very Low","")))))</f>
        <v/>
      </c>
      <c r="H245" s="5" t="n"/>
    </row>
    <row r="246">
      <c r="B246" s="6" t="n"/>
      <c r="F246">
        <f>D246*E246</f>
        <v/>
      </c>
      <c r="G246">
        <f>IF($F246&gt;=20,"Critical",IF($F246&gt;=15,"High",IF($F246&gt;=10,"Medium",IF($F246&gt;=5,"Low",IF($F246&gt;0,"Very Low","")))))</f>
        <v/>
      </c>
      <c r="H246" s="5" t="n"/>
    </row>
    <row r="247">
      <c r="B247" s="6" t="n"/>
      <c r="F247">
        <f>D247*E247</f>
        <v/>
      </c>
      <c r="G247">
        <f>IF($F247&gt;=20,"Critical",IF($F247&gt;=15,"High",IF($F247&gt;=10,"Medium",IF($F247&gt;=5,"Low",IF($F247&gt;0,"Very Low","")))))</f>
        <v/>
      </c>
      <c r="H247" s="5" t="n"/>
    </row>
    <row r="248">
      <c r="B248" s="6" t="n"/>
      <c r="F248">
        <f>D248*E248</f>
        <v/>
      </c>
      <c r="G248">
        <f>IF($F248&gt;=20,"Critical",IF($F248&gt;=15,"High",IF($F248&gt;=10,"Medium",IF($F248&gt;=5,"Low",IF($F248&gt;0,"Very Low","")))))</f>
        <v/>
      </c>
      <c r="H248" s="5" t="n"/>
    </row>
    <row r="249">
      <c r="B249" s="6" t="n"/>
      <c r="F249">
        <f>D249*E249</f>
        <v/>
      </c>
      <c r="G249">
        <f>IF($F249&gt;=20,"Critical",IF($F249&gt;=15,"High",IF($F249&gt;=10,"Medium",IF($F249&gt;=5,"Low",IF($F249&gt;0,"Very Low","")))))</f>
        <v/>
      </c>
      <c r="H249" s="5" t="n"/>
    </row>
    <row r="250">
      <c r="B250" s="6" t="n"/>
      <c r="F250">
        <f>D250*E250</f>
        <v/>
      </c>
      <c r="G250">
        <f>IF($F250&gt;=20,"Critical",IF($F250&gt;=15,"High",IF($F250&gt;=10,"Medium",IF($F250&gt;=5,"Low",IF($F250&gt;0,"Very Low","")))))</f>
        <v/>
      </c>
      <c r="H250" s="5" t="n"/>
    </row>
    <row r="251">
      <c r="B251" s="6" t="n"/>
      <c r="F251">
        <f>D251*E251</f>
        <v/>
      </c>
      <c r="G251">
        <f>IF($F251&gt;=20,"Critical",IF($F251&gt;=15,"High",IF($F251&gt;=10,"Medium",IF($F251&gt;=5,"Low",IF($F251&gt;0,"Very Low","")))))</f>
        <v/>
      </c>
      <c r="H251" s="5" t="n"/>
    </row>
    <row r="252">
      <c r="B252" s="6" t="n"/>
      <c r="F252">
        <f>D252*E252</f>
        <v/>
      </c>
      <c r="G252">
        <f>IF($F252&gt;=20,"Critical",IF($F252&gt;=15,"High",IF($F252&gt;=10,"Medium",IF($F252&gt;=5,"Low",IF($F252&gt;0,"Very Low","")))))</f>
        <v/>
      </c>
      <c r="H252" s="5" t="n"/>
    </row>
    <row r="253">
      <c r="B253" s="6" t="n"/>
      <c r="F253">
        <f>D253*E253</f>
        <v/>
      </c>
      <c r="G253">
        <f>IF($F253&gt;=20,"Critical",IF($F253&gt;=15,"High",IF($F253&gt;=10,"Medium",IF($F253&gt;=5,"Low",IF($F253&gt;0,"Very Low","")))))</f>
        <v/>
      </c>
      <c r="H253" s="5" t="n"/>
    </row>
    <row r="254">
      <c r="B254" s="6" t="n"/>
      <c r="F254">
        <f>D254*E254</f>
        <v/>
      </c>
      <c r="G254">
        <f>IF($F254&gt;=20,"Critical",IF($F254&gt;=15,"High",IF($F254&gt;=10,"Medium",IF($F254&gt;=5,"Low",IF($F254&gt;0,"Very Low","")))))</f>
        <v/>
      </c>
      <c r="H254" s="5" t="n"/>
    </row>
    <row r="255">
      <c r="B255" s="6" t="n"/>
      <c r="F255">
        <f>D255*E255</f>
        <v/>
      </c>
      <c r="G255">
        <f>IF($F255&gt;=20,"Critical",IF($F255&gt;=15,"High",IF($F255&gt;=10,"Medium",IF($F255&gt;=5,"Low",IF($F255&gt;0,"Very Low","")))))</f>
        <v/>
      </c>
      <c r="H255" s="5" t="n"/>
    </row>
    <row r="256">
      <c r="B256" s="6" t="n"/>
      <c r="F256">
        <f>D256*E256</f>
        <v/>
      </c>
      <c r="G256">
        <f>IF($F256&gt;=20,"Critical",IF($F256&gt;=15,"High",IF($F256&gt;=10,"Medium",IF($F256&gt;=5,"Low",IF($F256&gt;0,"Very Low","")))))</f>
        <v/>
      </c>
      <c r="H256" s="5" t="n"/>
    </row>
    <row r="257">
      <c r="B257" s="6" t="n"/>
      <c r="F257">
        <f>D257*E257</f>
        <v/>
      </c>
      <c r="G257">
        <f>IF($F257&gt;=20,"Critical",IF($F257&gt;=15,"High",IF($F257&gt;=10,"Medium",IF($F257&gt;=5,"Low",IF($F257&gt;0,"Very Low","")))))</f>
        <v/>
      </c>
      <c r="H257" s="5" t="n"/>
    </row>
    <row r="258">
      <c r="B258" s="6" t="n"/>
      <c r="F258">
        <f>D258*E258</f>
        <v/>
      </c>
      <c r="G258">
        <f>IF($F258&gt;=20,"Critical",IF($F258&gt;=15,"High",IF($F258&gt;=10,"Medium",IF($F258&gt;=5,"Low",IF($F258&gt;0,"Very Low","")))))</f>
        <v/>
      </c>
      <c r="H258" s="5" t="n"/>
    </row>
    <row r="259">
      <c r="B259" s="6" t="n"/>
      <c r="F259">
        <f>D259*E259</f>
        <v/>
      </c>
      <c r="G259">
        <f>IF($F259&gt;=20,"Critical",IF($F259&gt;=15,"High",IF($F259&gt;=10,"Medium",IF($F259&gt;=5,"Low",IF($F259&gt;0,"Very Low","")))))</f>
        <v/>
      </c>
      <c r="H259" s="5" t="n"/>
    </row>
    <row r="260">
      <c r="B260" s="6" t="n"/>
      <c r="F260">
        <f>D260*E260</f>
        <v/>
      </c>
      <c r="G260">
        <f>IF($F260&gt;=20,"Critical",IF($F260&gt;=15,"High",IF($F260&gt;=10,"Medium",IF($F260&gt;=5,"Low",IF($F260&gt;0,"Very Low","")))))</f>
        <v/>
      </c>
      <c r="H260" s="5" t="n"/>
    </row>
    <row r="261">
      <c r="B261" s="6" t="n"/>
      <c r="F261">
        <f>D261*E261</f>
        <v/>
      </c>
      <c r="G261">
        <f>IF($F261&gt;=20,"Critical",IF($F261&gt;=15,"High",IF($F261&gt;=10,"Medium",IF($F261&gt;=5,"Low",IF($F261&gt;0,"Very Low","")))))</f>
        <v/>
      </c>
      <c r="H261" s="5" t="n"/>
    </row>
    <row r="262">
      <c r="B262" s="6" t="n"/>
      <c r="F262">
        <f>D262*E262</f>
        <v/>
      </c>
      <c r="G262">
        <f>IF($F262&gt;=20,"Critical",IF($F262&gt;=15,"High",IF($F262&gt;=10,"Medium",IF($F262&gt;=5,"Low",IF($F262&gt;0,"Very Low","")))))</f>
        <v/>
      </c>
      <c r="H262" s="5" t="n"/>
    </row>
    <row r="263">
      <c r="B263" s="6" t="n"/>
      <c r="F263">
        <f>D263*E263</f>
        <v/>
      </c>
      <c r="G263">
        <f>IF($F263&gt;=20,"Critical",IF($F263&gt;=15,"High",IF($F263&gt;=10,"Medium",IF($F263&gt;=5,"Low",IF($F263&gt;0,"Very Low","")))))</f>
        <v/>
      </c>
      <c r="H263" s="5" t="n"/>
    </row>
    <row r="264">
      <c r="B264" s="6" t="n"/>
      <c r="F264">
        <f>D264*E264</f>
        <v/>
      </c>
      <c r="G264">
        <f>IF($F264&gt;=20,"Critical",IF($F264&gt;=15,"High",IF($F264&gt;=10,"Medium",IF($F264&gt;=5,"Low",IF($F264&gt;0,"Very Low","")))))</f>
        <v/>
      </c>
      <c r="H264" s="5" t="n"/>
    </row>
    <row r="265">
      <c r="B265" s="6" t="n"/>
      <c r="F265">
        <f>D265*E265</f>
        <v/>
      </c>
      <c r="G265">
        <f>IF($F265&gt;=20,"Critical",IF($F265&gt;=15,"High",IF($F265&gt;=10,"Medium",IF($F265&gt;=5,"Low",IF($F265&gt;0,"Very Low","")))))</f>
        <v/>
      </c>
      <c r="H265" s="5" t="n"/>
    </row>
    <row r="266">
      <c r="B266" s="6" t="n"/>
      <c r="F266">
        <f>D266*E266</f>
        <v/>
      </c>
      <c r="G266">
        <f>IF($F266&gt;=20,"Critical",IF($F266&gt;=15,"High",IF($F266&gt;=10,"Medium",IF($F266&gt;=5,"Low",IF($F266&gt;0,"Very Low","")))))</f>
        <v/>
      </c>
      <c r="H266" s="5" t="n"/>
    </row>
    <row r="267">
      <c r="B267" s="6" t="n"/>
      <c r="F267">
        <f>D267*E267</f>
        <v/>
      </c>
      <c r="G267">
        <f>IF($F267&gt;=20,"Critical",IF($F267&gt;=15,"High",IF($F267&gt;=10,"Medium",IF($F267&gt;=5,"Low",IF($F267&gt;0,"Very Low","")))))</f>
        <v/>
      </c>
      <c r="H267" s="5" t="n"/>
    </row>
    <row r="268">
      <c r="B268" s="6" t="n"/>
      <c r="F268">
        <f>D268*E268</f>
        <v/>
      </c>
      <c r="G268">
        <f>IF($F268&gt;=20,"Critical",IF($F268&gt;=15,"High",IF($F268&gt;=10,"Medium",IF($F268&gt;=5,"Low",IF($F268&gt;0,"Very Low","")))))</f>
        <v/>
      </c>
      <c r="H268" s="5" t="n"/>
    </row>
    <row r="269">
      <c r="B269" s="6" t="n"/>
      <c r="F269">
        <f>D269*E269</f>
        <v/>
      </c>
      <c r="G269">
        <f>IF($F269&gt;=20,"Critical",IF($F269&gt;=15,"High",IF($F269&gt;=10,"Medium",IF($F269&gt;=5,"Low",IF($F269&gt;0,"Very Low","")))))</f>
        <v/>
      </c>
      <c r="H269" s="5" t="n"/>
    </row>
    <row r="270">
      <c r="B270" s="6" t="n"/>
      <c r="F270">
        <f>D270*E270</f>
        <v/>
      </c>
      <c r="G270">
        <f>IF($F270&gt;=20,"Critical",IF($F270&gt;=15,"High",IF($F270&gt;=10,"Medium",IF($F270&gt;=5,"Low",IF($F270&gt;0,"Very Low","")))))</f>
        <v/>
      </c>
      <c r="H270" s="5" t="n"/>
    </row>
    <row r="271">
      <c r="B271" s="6" t="n"/>
      <c r="F271">
        <f>D271*E271</f>
        <v/>
      </c>
      <c r="G271">
        <f>IF($F271&gt;=20,"Critical",IF($F271&gt;=15,"High",IF($F271&gt;=10,"Medium",IF($F271&gt;=5,"Low",IF($F271&gt;0,"Very Low","")))))</f>
        <v/>
      </c>
      <c r="H271" s="5" t="n"/>
    </row>
    <row r="272">
      <c r="B272" s="6" t="n"/>
      <c r="F272">
        <f>D272*E272</f>
        <v/>
      </c>
      <c r="G272">
        <f>IF($F272&gt;=20,"Critical",IF($F272&gt;=15,"High",IF($F272&gt;=10,"Medium",IF($F272&gt;=5,"Low",IF($F272&gt;0,"Very Low","")))))</f>
        <v/>
      </c>
      <c r="H272" s="5" t="n"/>
    </row>
    <row r="273">
      <c r="B273" s="6" t="n"/>
      <c r="F273">
        <f>D273*E273</f>
        <v/>
      </c>
      <c r="G273">
        <f>IF($F273&gt;=20,"Critical",IF($F273&gt;=15,"High",IF($F273&gt;=10,"Medium",IF($F273&gt;=5,"Low",IF($F273&gt;0,"Very Low","")))))</f>
        <v/>
      </c>
      <c r="H273" s="5" t="n"/>
    </row>
    <row r="274">
      <c r="B274" s="6" t="n"/>
      <c r="F274">
        <f>D274*E274</f>
        <v/>
      </c>
      <c r="G274">
        <f>IF($F274&gt;=20,"Critical",IF($F274&gt;=15,"High",IF($F274&gt;=10,"Medium",IF($F274&gt;=5,"Low",IF($F274&gt;0,"Very Low","")))))</f>
        <v/>
      </c>
      <c r="H274" s="5" t="n"/>
    </row>
    <row r="275">
      <c r="B275" s="6" t="n"/>
      <c r="F275">
        <f>D275*E275</f>
        <v/>
      </c>
      <c r="G275">
        <f>IF($F275&gt;=20,"Critical",IF($F275&gt;=15,"High",IF($F275&gt;=10,"Medium",IF($F275&gt;=5,"Low",IF($F275&gt;0,"Very Low","")))))</f>
        <v/>
      </c>
      <c r="H275" s="5" t="n"/>
    </row>
    <row r="276">
      <c r="B276" s="6" t="n"/>
      <c r="F276">
        <f>D276*E276</f>
        <v/>
      </c>
      <c r="G276">
        <f>IF($F276&gt;=20,"Critical",IF($F276&gt;=15,"High",IF($F276&gt;=10,"Medium",IF($F276&gt;=5,"Low",IF($F276&gt;0,"Very Low","")))))</f>
        <v/>
      </c>
      <c r="H276" s="5" t="n"/>
    </row>
    <row r="277">
      <c r="B277" s="6" t="n"/>
      <c r="F277">
        <f>D277*E277</f>
        <v/>
      </c>
      <c r="G277">
        <f>IF($F277&gt;=20,"Critical",IF($F277&gt;=15,"High",IF($F277&gt;=10,"Medium",IF($F277&gt;=5,"Low",IF($F277&gt;0,"Very Low","")))))</f>
        <v/>
      </c>
      <c r="H277" s="5" t="n"/>
    </row>
    <row r="278">
      <c r="B278" s="6" t="n"/>
      <c r="F278">
        <f>D278*E278</f>
        <v/>
      </c>
      <c r="G278">
        <f>IF($F278&gt;=20,"Critical",IF($F278&gt;=15,"High",IF($F278&gt;=10,"Medium",IF($F278&gt;=5,"Low",IF($F278&gt;0,"Very Low","")))))</f>
        <v/>
      </c>
      <c r="H278" s="5" t="n"/>
    </row>
    <row r="279">
      <c r="B279" s="6" t="n"/>
      <c r="F279">
        <f>D279*E279</f>
        <v/>
      </c>
      <c r="G279">
        <f>IF($F279&gt;=20,"Critical",IF($F279&gt;=15,"High",IF($F279&gt;=10,"Medium",IF($F279&gt;=5,"Low",IF($F279&gt;0,"Very Low","")))))</f>
        <v/>
      </c>
      <c r="H279" s="5" t="n"/>
    </row>
    <row r="280">
      <c r="B280" s="6" t="n"/>
      <c r="F280">
        <f>D280*E280</f>
        <v/>
      </c>
      <c r="G280">
        <f>IF($F280&gt;=20,"Critical",IF($F280&gt;=15,"High",IF($F280&gt;=10,"Medium",IF($F280&gt;=5,"Low",IF($F280&gt;0,"Very Low","")))))</f>
        <v/>
      </c>
      <c r="H280" s="5" t="n"/>
    </row>
    <row r="281">
      <c r="B281" s="6" t="n"/>
      <c r="F281">
        <f>D281*E281</f>
        <v/>
      </c>
      <c r="G281">
        <f>IF($F281&gt;=20,"Critical",IF($F281&gt;=15,"High",IF($F281&gt;=10,"Medium",IF($F281&gt;=5,"Low",IF($F281&gt;0,"Very Low","")))))</f>
        <v/>
      </c>
      <c r="H281" s="5" t="n"/>
    </row>
    <row r="282">
      <c r="B282" s="6" t="n"/>
      <c r="F282">
        <f>D282*E282</f>
        <v/>
      </c>
      <c r="G282">
        <f>IF($F282&gt;=20,"Critical",IF($F282&gt;=15,"High",IF($F282&gt;=10,"Medium",IF($F282&gt;=5,"Low",IF($F282&gt;0,"Very Low","")))))</f>
        <v/>
      </c>
      <c r="H282" s="5" t="n"/>
    </row>
    <row r="283">
      <c r="B283" s="6" t="n"/>
      <c r="F283">
        <f>D283*E283</f>
        <v/>
      </c>
      <c r="G283">
        <f>IF($F283&gt;=20,"Critical",IF($F283&gt;=15,"High",IF($F283&gt;=10,"Medium",IF($F283&gt;=5,"Low",IF($F283&gt;0,"Very Low","")))))</f>
        <v/>
      </c>
      <c r="H283" s="5" t="n"/>
    </row>
    <row r="284">
      <c r="B284" s="6" t="n"/>
      <c r="F284">
        <f>D284*E284</f>
        <v/>
      </c>
      <c r="G284">
        <f>IF($F284&gt;=20,"Critical",IF($F284&gt;=15,"High",IF($F284&gt;=10,"Medium",IF($F284&gt;=5,"Low",IF($F284&gt;0,"Very Low","")))))</f>
        <v/>
      </c>
      <c r="H284" s="5" t="n"/>
    </row>
    <row r="285">
      <c r="B285" s="6" t="n"/>
      <c r="F285">
        <f>D285*E285</f>
        <v/>
      </c>
      <c r="G285">
        <f>IF($F285&gt;=20,"Critical",IF($F285&gt;=15,"High",IF($F285&gt;=10,"Medium",IF($F285&gt;=5,"Low",IF($F285&gt;0,"Very Low","")))))</f>
        <v/>
      </c>
      <c r="H285" s="5" t="n"/>
    </row>
    <row r="286">
      <c r="B286" s="6" t="n"/>
      <c r="F286">
        <f>D286*E286</f>
        <v/>
      </c>
      <c r="G286">
        <f>IF($F286&gt;=20,"Critical",IF($F286&gt;=15,"High",IF($F286&gt;=10,"Medium",IF($F286&gt;=5,"Low",IF($F286&gt;0,"Very Low","")))))</f>
        <v/>
      </c>
      <c r="H286" s="5" t="n"/>
    </row>
    <row r="287">
      <c r="B287" s="6" t="n"/>
      <c r="F287">
        <f>D287*E287</f>
        <v/>
      </c>
      <c r="G287">
        <f>IF($F287&gt;=20,"Critical",IF($F287&gt;=15,"High",IF($F287&gt;=10,"Medium",IF($F287&gt;=5,"Low",IF($F287&gt;0,"Very Low","")))))</f>
        <v/>
      </c>
      <c r="H287" s="5" t="n"/>
    </row>
    <row r="288">
      <c r="B288" s="6" t="n"/>
      <c r="F288">
        <f>D288*E288</f>
        <v/>
      </c>
      <c r="G288">
        <f>IF($F288&gt;=20,"Critical",IF($F288&gt;=15,"High",IF($F288&gt;=10,"Medium",IF($F288&gt;=5,"Low",IF($F288&gt;0,"Very Low","")))))</f>
        <v/>
      </c>
      <c r="H288" s="5" t="n"/>
    </row>
    <row r="289">
      <c r="B289" s="6" t="n"/>
      <c r="F289">
        <f>D289*E289</f>
        <v/>
      </c>
      <c r="G289">
        <f>IF($F289&gt;=20,"Critical",IF($F289&gt;=15,"High",IF($F289&gt;=10,"Medium",IF($F289&gt;=5,"Low",IF($F289&gt;0,"Very Low","")))))</f>
        <v/>
      </c>
      <c r="H289" s="5" t="n"/>
    </row>
    <row r="290">
      <c r="B290" s="6" t="n"/>
      <c r="F290">
        <f>D290*E290</f>
        <v/>
      </c>
      <c r="G290">
        <f>IF($F290&gt;=20,"Critical",IF($F290&gt;=15,"High",IF($F290&gt;=10,"Medium",IF($F290&gt;=5,"Low",IF($F290&gt;0,"Very Low","")))))</f>
        <v/>
      </c>
      <c r="H290" s="5" t="n"/>
    </row>
    <row r="291">
      <c r="B291" s="6" t="n"/>
      <c r="F291">
        <f>D291*E291</f>
        <v/>
      </c>
      <c r="G291">
        <f>IF($F291&gt;=20,"Critical",IF($F291&gt;=15,"High",IF($F291&gt;=10,"Medium",IF($F291&gt;=5,"Low",IF($F291&gt;0,"Very Low","")))))</f>
        <v/>
      </c>
      <c r="H291" s="5" t="n"/>
    </row>
    <row r="292">
      <c r="B292" s="6" t="n"/>
      <c r="F292">
        <f>D292*E292</f>
        <v/>
      </c>
      <c r="G292">
        <f>IF($F292&gt;=20,"Critical",IF($F292&gt;=15,"High",IF($F292&gt;=10,"Medium",IF($F292&gt;=5,"Low",IF($F292&gt;0,"Very Low","")))))</f>
        <v/>
      </c>
      <c r="H292" s="5" t="n"/>
    </row>
    <row r="293">
      <c r="B293" s="6" t="n"/>
      <c r="F293">
        <f>D293*E293</f>
        <v/>
      </c>
      <c r="G293">
        <f>IF($F293&gt;=20,"Critical",IF($F293&gt;=15,"High",IF($F293&gt;=10,"Medium",IF($F293&gt;=5,"Low",IF($F293&gt;0,"Very Low","")))))</f>
        <v/>
      </c>
      <c r="H293" s="5" t="n"/>
    </row>
    <row r="294">
      <c r="B294" s="6" t="n"/>
      <c r="F294">
        <f>D294*E294</f>
        <v/>
      </c>
      <c r="G294">
        <f>IF($F294&gt;=20,"Critical",IF($F294&gt;=15,"High",IF($F294&gt;=10,"Medium",IF($F294&gt;=5,"Low",IF($F294&gt;0,"Very Low","")))))</f>
        <v/>
      </c>
      <c r="H294" s="5" t="n"/>
    </row>
    <row r="295">
      <c r="B295" s="6" t="n"/>
      <c r="F295">
        <f>D295*E295</f>
        <v/>
      </c>
      <c r="G295">
        <f>IF($F295&gt;=20,"Critical",IF($F295&gt;=15,"High",IF($F295&gt;=10,"Medium",IF($F295&gt;=5,"Low",IF($F295&gt;0,"Very Low","")))))</f>
        <v/>
      </c>
      <c r="H295" s="5" t="n"/>
    </row>
    <row r="296">
      <c r="B296" s="6" t="n"/>
      <c r="F296">
        <f>D296*E296</f>
        <v/>
      </c>
      <c r="G296">
        <f>IF($F296&gt;=20,"Critical",IF($F296&gt;=15,"High",IF($F296&gt;=10,"Medium",IF($F296&gt;=5,"Low",IF($F296&gt;0,"Very Low","")))))</f>
        <v/>
      </c>
      <c r="H296" s="5" t="n"/>
    </row>
    <row r="297">
      <c r="B297" s="6" t="n"/>
      <c r="F297">
        <f>D297*E297</f>
        <v/>
      </c>
      <c r="G297">
        <f>IF($F297&gt;=20,"Critical",IF($F297&gt;=15,"High",IF($F297&gt;=10,"Medium",IF($F297&gt;=5,"Low",IF($F297&gt;0,"Very Low","")))))</f>
        <v/>
      </c>
      <c r="H297" s="5" t="n"/>
    </row>
    <row r="298">
      <c r="B298" s="6" t="n"/>
      <c r="F298">
        <f>D298*E298</f>
        <v/>
      </c>
      <c r="G298">
        <f>IF($F298&gt;=20,"Critical",IF($F298&gt;=15,"High",IF($F298&gt;=10,"Medium",IF($F298&gt;=5,"Low",IF($F298&gt;0,"Very Low","")))))</f>
        <v/>
      </c>
      <c r="H298" s="5" t="n"/>
    </row>
    <row r="299">
      <c r="B299" s="6" t="n"/>
      <c r="F299">
        <f>D299*E299</f>
        <v/>
      </c>
      <c r="G299">
        <f>IF($F299&gt;=20,"Critical",IF($F299&gt;=15,"High",IF($F299&gt;=10,"Medium",IF($F299&gt;=5,"Low",IF($F299&gt;0,"Very Low","")))))</f>
        <v/>
      </c>
      <c r="H299" s="5" t="n"/>
    </row>
    <row r="300">
      <c r="B300" s="6" t="n"/>
      <c r="F300">
        <f>D300*E300</f>
        <v/>
      </c>
      <c r="G300">
        <f>IF($F300&gt;=20,"Critical",IF($F300&gt;=15,"High",IF($F300&gt;=10,"Medium",IF($F300&gt;=5,"Low",IF($F300&gt;0,"Very Low","")))))</f>
        <v/>
      </c>
      <c r="H300" s="5" t="n"/>
    </row>
    <row r="301">
      <c r="B301" s="6" t="n"/>
      <c r="F301">
        <f>D301*E301</f>
        <v/>
      </c>
      <c r="G301">
        <f>IF($F301&gt;=20,"Critical",IF($F301&gt;=15,"High",IF($F301&gt;=10,"Medium",IF($F301&gt;=5,"Low",IF($F301&gt;0,"Very Low","")))))</f>
        <v/>
      </c>
      <c r="H301" s="5" t="n"/>
    </row>
    <row r="302">
      <c r="B302" s="6" t="n"/>
      <c r="F302">
        <f>D302*E302</f>
        <v/>
      </c>
      <c r="G302">
        <f>IF($F302&gt;=20,"Critical",IF($F302&gt;=15,"High",IF($F302&gt;=10,"Medium",IF($F302&gt;=5,"Low",IF($F302&gt;0,"Very Low","")))))</f>
        <v/>
      </c>
      <c r="H302" s="5" t="n"/>
    </row>
    <row r="303">
      <c r="B303" s="6" t="n"/>
      <c r="F303">
        <f>D303*E303</f>
        <v/>
      </c>
      <c r="G303">
        <f>IF($F303&gt;=20,"Critical",IF($F303&gt;=15,"High",IF($F303&gt;=10,"Medium",IF($F303&gt;=5,"Low",IF($F303&gt;0,"Very Low","")))))</f>
        <v/>
      </c>
      <c r="H303" s="5" t="n"/>
    </row>
    <row r="304">
      <c r="B304" s="6" t="n"/>
      <c r="F304">
        <f>D304*E304</f>
        <v/>
      </c>
      <c r="G304">
        <f>IF($F304&gt;=20,"Critical",IF($F304&gt;=15,"High",IF($F304&gt;=10,"Medium",IF($F304&gt;=5,"Low",IF($F304&gt;0,"Very Low","")))))</f>
        <v/>
      </c>
      <c r="H304" s="5" t="n"/>
    </row>
    <row r="305">
      <c r="B305" s="6" t="n"/>
      <c r="F305">
        <f>D305*E305</f>
        <v/>
      </c>
      <c r="G305">
        <f>IF($F305&gt;=20,"Critical",IF($F305&gt;=15,"High",IF($F305&gt;=10,"Medium",IF($F305&gt;=5,"Low",IF($F305&gt;0,"Very Low","")))))</f>
        <v/>
      </c>
      <c r="H305" s="5" t="n"/>
    </row>
    <row r="306">
      <c r="B306" s="6" t="n"/>
      <c r="F306">
        <f>D306*E306</f>
        <v/>
      </c>
      <c r="G306">
        <f>IF($F306&gt;=20,"Critical",IF($F306&gt;=15,"High",IF($F306&gt;=10,"Medium",IF($F306&gt;=5,"Low",IF($F306&gt;0,"Very Low","")))))</f>
        <v/>
      </c>
      <c r="H306" s="5" t="n"/>
    </row>
    <row r="307">
      <c r="B307" s="6" t="n"/>
      <c r="F307">
        <f>D307*E307</f>
        <v/>
      </c>
      <c r="G307">
        <f>IF($F307&gt;=20,"Critical",IF($F307&gt;=15,"High",IF($F307&gt;=10,"Medium",IF($F307&gt;=5,"Low",IF($F307&gt;0,"Very Low","")))))</f>
        <v/>
      </c>
      <c r="H307" s="5" t="n"/>
    </row>
    <row r="308">
      <c r="B308" s="6" t="n"/>
      <c r="F308">
        <f>D308*E308</f>
        <v/>
      </c>
      <c r="G308">
        <f>IF($F308&gt;=20,"Critical",IF($F308&gt;=15,"High",IF($F308&gt;=10,"Medium",IF($F308&gt;=5,"Low",IF($F308&gt;0,"Very Low","")))))</f>
        <v/>
      </c>
      <c r="H308" s="5" t="n"/>
    </row>
    <row r="309">
      <c r="B309" s="6" t="n"/>
      <c r="F309">
        <f>D309*E309</f>
        <v/>
      </c>
      <c r="G309">
        <f>IF($F309&gt;=20,"Critical",IF($F309&gt;=15,"High",IF($F309&gt;=10,"Medium",IF($F309&gt;=5,"Low",IF($F309&gt;0,"Very Low","")))))</f>
        <v/>
      </c>
      <c r="H309" s="5" t="n"/>
    </row>
    <row r="310">
      <c r="B310" s="6" t="n"/>
      <c r="F310">
        <f>D310*E310</f>
        <v/>
      </c>
      <c r="G310">
        <f>IF($F310&gt;=20,"Critical",IF($F310&gt;=15,"High",IF($F310&gt;=10,"Medium",IF($F310&gt;=5,"Low",IF($F310&gt;0,"Very Low","")))))</f>
        <v/>
      </c>
      <c r="H310" s="5" t="n"/>
    </row>
    <row r="311">
      <c r="B311" s="6" t="n"/>
      <c r="F311">
        <f>D311*E311</f>
        <v/>
      </c>
      <c r="G311">
        <f>IF($F311&gt;=20,"Critical",IF($F311&gt;=15,"High",IF($F311&gt;=10,"Medium",IF($F311&gt;=5,"Low",IF($F311&gt;0,"Very Low","")))))</f>
        <v/>
      </c>
      <c r="H311" s="5" t="n"/>
    </row>
    <row r="312">
      <c r="B312" s="6" t="n"/>
      <c r="F312">
        <f>D312*E312</f>
        <v/>
      </c>
      <c r="G312">
        <f>IF($F312&gt;=20,"Critical",IF($F312&gt;=15,"High",IF($F312&gt;=10,"Medium",IF($F312&gt;=5,"Low",IF($F312&gt;0,"Very Low","")))))</f>
        <v/>
      </c>
      <c r="H312" s="5" t="n"/>
    </row>
    <row r="313">
      <c r="B313" s="6" t="n"/>
      <c r="F313">
        <f>D313*E313</f>
        <v/>
      </c>
      <c r="G313">
        <f>IF($F313&gt;=20,"Critical",IF($F313&gt;=15,"High",IF($F313&gt;=10,"Medium",IF($F313&gt;=5,"Low",IF($F313&gt;0,"Very Low","")))))</f>
        <v/>
      </c>
      <c r="H313" s="5" t="n"/>
    </row>
    <row r="314">
      <c r="B314" s="6" t="n"/>
      <c r="F314">
        <f>D314*E314</f>
        <v/>
      </c>
      <c r="G314">
        <f>IF($F314&gt;=20,"Critical",IF($F314&gt;=15,"High",IF($F314&gt;=10,"Medium",IF($F314&gt;=5,"Low",IF($F314&gt;0,"Very Low","")))))</f>
        <v/>
      </c>
      <c r="H314" s="5" t="n"/>
    </row>
    <row r="315">
      <c r="B315" s="6" t="n"/>
      <c r="F315">
        <f>D315*E315</f>
        <v/>
      </c>
      <c r="G315">
        <f>IF($F315&gt;=20,"Critical",IF($F315&gt;=15,"High",IF($F315&gt;=10,"Medium",IF($F315&gt;=5,"Low",IF($F315&gt;0,"Very Low","")))))</f>
        <v/>
      </c>
      <c r="H315" s="5" t="n"/>
    </row>
    <row r="316">
      <c r="B316" s="6" t="n"/>
      <c r="F316">
        <f>D316*E316</f>
        <v/>
      </c>
      <c r="G316">
        <f>IF($F316&gt;=20,"Critical",IF($F316&gt;=15,"High",IF($F316&gt;=10,"Medium",IF($F316&gt;=5,"Low",IF($F316&gt;0,"Very Low","")))))</f>
        <v/>
      </c>
      <c r="H316" s="5" t="n"/>
    </row>
    <row r="317">
      <c r="B317" s="6" t="n"/>
      <c r="F317">
        <f>D317*E317</f>
        <v/>
      </c>
      <c r="G317">
        <f>IF($F317&gt;=20,"Critical",IF($F317&gt;=15,"High",IF($F317&gt;=10,"Medium",IF($F317&gt;=5,"Low",IF($F317&gt;0,"Very Low","")))))</f>
        <v/>
      </c>
      <c r="H317" s="5" t="n"/>
    </row>
    <row r="318">
      <c r="B318" s="6" t="n"/>
      <c r="F318">
        <f>D318*E318</f>
        <v/>
      </c>
      <c r="G318">
        <f>IF($F318&gt;=20,"Critical",IF($F318&gt;=15,"High",IF($F318&gt;=10,"Medium",IF($F318&gt;=5,"Low",IF($F318&gt;0,"Very Low","")))))</f>
        <v/>
      </c>
      <c r="H318" s="5" t="n"/>
    </row>
    <row r="319">
      <c r="B319" s="6" t="n"/>
      <c r="F319">
        <f>D319*E319</f>
        <v/>
      </c>
      <c r="G319">
        <f>IF($F319&gt;=20,"Critical",IF($F319&gt;=15,"High",IF($F319&gt;=10,"Medium",IF($F319&gt;=5,"Low",IF($F319&gt;0,"Very Low","")))))</f>
        <v/>
      </c>
      <c r="H319" s="5" t="n"/>
    </row>
    <row r="320">
      <c r="B320" s="6" t="n"/>
      <c r="F320">
        <f>D320*E320</f>
        <v/>
      </c>
      <c r="G320">
        <f>IF($F320&gt;=20,"Critical",IF($F320&gt;=15,"High",IF($F320&gt;=10,"Medium",IF($F320&gt;=5,"Low",IF($F320&gt;0,"Very Low","")))))</f>
        <v/>
      </c>
      <c r="H320" s="5" t="n"/>
    </row>
    <row r="321">
      <c r="B321" s="6" t="n"/>
      <c r="F321">
        <f>D321*E321</f>
        <v/>
      </c>
      <c r="G321">
        <f>IF($F321&gt;=20,"Critical",IF($F321&gt;=15,"High",IF($F321&gt;=10,"Medium",IF($F321&gt;=5,"Low",IF($F321&gt;0,"Very Low","")))))</f>
        <v/>
      </c>
      <c r="H321" s="5" t="n"/>
    </row>
    <row r="322">
      <c r="B322" s="6" t="n"/>
      <c r="F322">
        <f>D322*E322</f>
        <v/>
      </c>
      <c r="G322">
        <f>IF($F322&gt;=20,"Critical",IF($F322&gt;=15,"High",IF($F322&gt;=10,"Medium",IF($F322&gt;=5,"Low",IF($F322&gt;0,"Very Low","")))))</f>
        <v/>
      </c>
      <c r="H322" s="5" t="n"/>
    </row>
    <row r="323">
      <c r="B323" s="6" t="n"/>
      <c r="F323">
        <f>D323*E323</f>
        <v/>
      </c>
      <c r="G323">
        <f>IF($F323&gt;=20,"Critical",IF($F323&gt;=15,"High",IF($F323&gt;=10,"Medium",IF($F323&gt;=5,"Low",IF($F323&gt;0,"Very Low","")))))</f>
        <v/>
      </c>
      <c r="H323" s="5" t="n"/>
    </row>
    <row r="324">
      <c r="B324" s="6" t="n"/>
      <c r="F324">
        <f>D324*E324</f>
        <v/>
      </c>
      <c r="G324">
        <f>IF($F324&gt;=20,"Critical",IF($F324&gt;=15,"High",IF($F324&gt;=10,"Medium",IF($F324&gt;=5,"Low",IF($F324&gt;0,"Very Low","")))))</f>
        <v/>
      </c>
      <c r="H324" s="5" t="n"/>
    </row>
    <row r="325">
      <c r="B325" s="6" t="n"/>
      <c r="F325">
        <f>D325*E325</f>
        <v/>
      </c>
      <c r="G325">
        <f>IF($F325&gt;=20,"Critical",IF($F325&gt;=15,"High",IF($F325&gt;=10,"Medium",IF($F325&gt;=5,"Low",IF($F325&gt;0,"Very Low","")))))</f>
        <v/>
      </c>
      <c r="H325" s="5" t="n"/>
    </row>
    <row r="326">
      <c r="B326" s="6" t="n"/>
      <c r="F326">
        <f>D326*E326</f>
        <v/>
      </c>
      <c r="G326">
        <f>IF($F326&gt;=20,"Critical",IF($F326&gt;=15,"High",IF($F326&gt;=10,"Medium",IF($F326&gt;=5,"Low",IF($F326&gt;0,"Very Low","")))))</f>
        <v/>
      </c>
      <c r="H326" s="5" t="n"/>
    </row>
    <row r="327">
      <c r="B327" s="6" t="n"/>
      <c r="F327">
        <f>D327*E327</f>
        <v/>
      </c>
      <c r="G327">
        <f>IF($F327&gt;=20,"Critical",IF($F327&gt;=15,"High",IF($F327&gt;=10,"Medium",IF($F327&gt;=5,"Low",IF($F327&gt;0,"Very Low","")))))</f>
        <v/>
      </c>
      <c r="H327" s="5" t="n"/>
    </row>
    <row r="328">
      <c r="B328" s="6" t="n"/>
      <c r="F328">
        <f>D328*E328</f>
        <v/>
      </c>
      <c r="G328">
        <f>IF($F328&gt;=20,"Critical",IF($F328&gt;=15,"High",IF($F328&gt;=10,"Medium",IF($F328&gt;=5,"Low",IF($F328&gt;0,"Very Low","")))))</f>
        <v/>
      </c>
      <c r="H328" s="5" t="n"/>
    </row>
    <row r="329">
      <c r="B329" s="6" t="n"/>
      <c r="F329">
        <f>D329*E329</f>
        <v/>
      </c>
      <c r="G329">
        <f>IF($F329&gt;=20,"Critical",IF($F329&gt;=15,"High",IF($F329&gt;=10,"Medium",IF($F329&gt;=5,"Low",IF($F329&gt;0,"Very Low","")))))</f>
        <v/>
      </c>
      <c r="H329" s="5" t="n"/>
    </row>
    <row r="330">
      <c r="B330" s="6" t="n"/>
      <c r="F330">
        <f>D330*E330</f>
        <v/>
      </c>
      <c r="G330">
        <f>IF($F330&gt;=20,"Critical",IF($F330&gt;=15,"High",IF($F330&gt;=10,"Medium",IF($F330&gt;=5,"Low",IF($F330&gt;0,"Very Low","")))))</f>
        <v/>
      </c>
      <c r="H330" s="5" t="n"/>
    </row>
    <row r="331">
      <c r="B331" s="6" t="n"/>
      <c r="F331">
        <f>D331*E331</f>
        <v/>
      </c>
      <c r="G331">
        <f>IF($F331&gt;=20,"Critical",IF($F331&gt;=15,"High",IF($F331&gt;=10,"Medium",IF($F331&gt;=5,"Low",IF($F331&gt;0,"Very Low","")))))</f>
        <v/>
      </c>
      <c r="H331" s="5" t="n"/>
    </row>
    <row r="332">
      <c r="B332" s="6" t="n"/>
      <c r="F332">
        <f>D332*E332</f>
        <v/>
      </c>
      <c r="G332">
        <f>IF($F332&gt;=20,"Critical",IF($F332&gt;=15,"High",IF($F332&gt;=10,"Medium",IF($F332&gt;=5,"Low",IF($F332&gt;0,"Very Low","")))))</f>
        <v/>
      </c>
      <c r="H332" s="5" t="n"/>
    </row>
    <row r="333">
      <c r="B333" s="6" t="n"/>
      <c r="F333">
        <f>D333*E333</f>
        <v/>
      </c>
      <c r="G333">
        <f>IF($F333&gt;=20,"Critical",IF($F333&gt;=15,"High",IF($F333&gt;=10,"Medium",IF($F333&gt;=5,"Low",IF($F333&gt;0,"Very Low","")))))</f>
        <v/>
      </c>
      <c r="H333" s="5" t="n"/>
    </row>
    <row r="334">
      <c r="B334" s="6" t="n"/>
      <c r="F334">
        <f>D334*E334</f>
        <v/>
      </c>
      <c r="G334">
        <f>IF($F334&gt;=20,"Critical",IF($F334&gt;=15,"High",IF($F334&gt;=10,"Medium",IF($F334&gt;=5,"Low",IF($F334&gt;0,"Very Low","")))))</f>
        <v/>
      </c>
      <c r="H334" s="5" t="n"/>
    </row>
    <row r="335">
      <c r="B335" s="6" t="n"/>
      <c r="F335">
        <f>D335*E335</f>
        <v/>
      </c>
      <c r="G335">
        <f>IF($F335&gt;=20,"Critical",IF($F335&gt;=15,"High",IF($F335&gt;=10,"Medium",IF($F335&gt;=5,"Low",IF($F335&gt;0,"Very Low","")))))</f>
        <v/>
      </c>
      <c r="H335" s="5" t="n"/>
    </row>
    <row r="336">
      <c r="B336" s="6" t="n"/>
      <c r="F336">
        <f>D336*E336</f>
        <v/>
      </c>
      <c r="G336">
        <f>IF($F336&gt;=20,"Critical",IF($F336&gt;=15,"High",IF($F336&gt;=10,"Medium",IF($F336&gt;=5,"Low",IF($F336&gt;0,"Very Low","")))))</f>
        <v/>
      </c>
      <c r="H336" s="5" t="n"/>
    </row>
    <row r="337">
      <c r="B337" s="6" t="n"/>
      <c r="F337">
        <f>D337*E337</f>
        <v/>
      </c>
      <c r="G337">
        <f>IF($F337&gt;=20,"Critical",IF($F337&gt;=15,"High",IF($F337&gt;=10,"Medium",IF($F337&gt;=5,"Low",IF($F337&gt;0,"Very Low","")))))</f>
        <v/>
      </c>
      <c r="H337" s="5" t="n"/>
    </row>
    <row r="338">
      <c r="B338" s="6" t="n"/>
      <c r="F338">
        <f>D338*E338</f>
        <v/>
      </c>
      <c r="G338">
        <f>IF($F338&gt;=20,"Critical",IF($F338&gt;=15,"High",IF($F338&gt;=10,"Medium",IF($F338&gt;=5,"Low",IF($F338&gt;0,"Very Low","")))))</f>
        <v/>
      </c>
      <c r="H338" s="5" t="n"/>
    </row>
    <row r="339">
      <c r="B339" s="6" t="n"/>
      <c r="F339">
        <f>D339*E339</f>
        <v/>
      </c>
      <c r="G339">
        <f>IF($F339&gt;=20,"Critical",IF($F339&gt;=15,"High",IF($F339&gt;=10,"Medium",IF($F339&gt;=5,"Low",IF($F339&gt;0,"Very Low","")))))</f>
        <v/>
      </c>
      <c r="H339" s="5" t="n"/>
    </row>
    <row r="340">
      <c r="B340" s="6" t="n"/>
      <c r="F340">
        <f>D340*E340</f>
        <v/>
      </c>
      <c r="G340">
        <f>IF($F340&gt;=20,"Critical",IF($F340&gt;=15,"High",IF($F340&gt;=10,"Medium",IF($F340&gt;=5,"Low",IF($F340&gt;0,"Very Low","")))))</f>
        <v/>
      </c>
      <c r="H340" s="5" t="n"/>
    </row>
    <row r="341">
      <c r="B341" s="6" t="n"/>
      <c r="F341">
        <f>D341*E341</f>
        <v/>
      </c>
      <c r="G341">
        <f>IF($F341&gt;=20,"Critical",IF($F341&gt;=15,"High",IF($F341&gt;=10,"Medium",IF($F341&gt;=5,"Low",IF($F341&gt;0,"Very Low","")))))</f>
        <v/>
      </c>
      <c r="H341" s="5" t="n"/>
    </row>
    <row r="342">
      <c r="B342" s="6" t="n"/>
      <c r="F342">
        <f>D342*E342</f>
        <v/>
      </c>
      <c r="G342">
        <f>IF($F342&gt;=20,"Critical",IF($F342&gt;=15,"High",IF($F342&gt;=10,"Medium",IF($F342&gt;=5,"Low",IF($F342&gt;0,"Very Low","")))))</f>
        <v/>
      </c>
      <c r="H342" s="5" t="n"/>
    </row>
    <row r="343">
      <c r="B343" s="6" t="n"/>
      <c r="F343">
        <f>D343*E343</f>
        <v/>
      </c>
      <c r="G343">
        <f>IF($F343&gt;=20,"Critical",IF($F343&gt;=15,"High",IF($F343&gt;=10,"Medium",IF($F343&gt;=5,"Low",IF($F343&gt;0,"Very Low","")))))</f>
        <v/>
      </c>
      <c r="H343" s="5" t="n"/>
    </row>
    <row r="344">
      <c r="B344" s="6" t="n"/>
      <c r="F344">
        <f>D344*E344</f>
        <v/>
      </c>
      <c r="G344">
        <f>IF($F344&gt;=20,"Critical",IF($F344&gt;=15,"High",IF($F344&gt;=10,"Medium",IF($F344&gt;=5,"Low",IF($F344&gt;0,"Very Low","")))))</f>
        <v/>
      </c>
      <c r="H344" s="5" t="n"/>
    </row>
    <row r="345">
      <c r="B345" s="6" t="n"/>
      <c r="F345">
        <f>D345*E345</f>
        <v/>
      </c>
      <c r="G345">
        <f>IF($F345&gt;=20,"Critical",IF($F345&gt;=15,"High",IF($F345&gt;=10,"Medium",IF($F345&gt;=5,"Low",IF($F345&gt;0,"Very Low","")))))</f>
        <v/>
      </c>
      <c r="H345" s="5" t="n"/>
    </row>
    <row r="346">
      <c r="B346" s="6" t="n"/>
      <c r="F346">
        <f>D346*E346</f>
        <v/>
      </c>
      <c r="G346">
        <f>IF($F346&gt;=20,"Critical",IF($F346&gt;=15,"High",IF($F346&gt;=10,"Medium",IF($F346&gt;=5,"Low",IF($F346&gt;0,"Very Low","")))))</f>
        <v/>
      </c>
      <c r="H346" s="5" t="n"/>
    </row>
    <row r="347">
      <c r="B347" s="6" t="n"/>
      <c r="F347">
        <f>D347*E347</f>
        <v/>
      </c>
      <c r="G347">
        <f>IF($F347&gt;=20,"Critical",IF($F347&gt;=15,"High",IF($F347&gt;=10,"Medium",IF($F347&gt;=5,"Low",IF($F347&gt;0,"Very Low","")))))</f>
        <v/>
      </c>
      <c r="H347" s="5" t="n"/>
    </row>
    <row r="348">
      <c r="B348" s="6" t="n"/>
      <c r="F348">
        <f>D348*E348</f>
        <v/>
      </c>
      <c r="G348">
        <f>IF($F348&gt;=20,"Critical",IF($F348&gt;=15,"High",IF($F348&gt;=10,"Medium",IF($F348&gt;=5,"Low",IF($F348&gt;0,"Very Low","")))))</f>
        <v/>
      </c>
      <c r="H348" s="5" t="n"/>
    </row>
    <row r="349">
      <c r="B349" s="6" t="n"/>
      <c r="F349">
        <f>D349*E349</f>
        <v/>
      </c>
      <c r="G349">
        <f>IF($F349&gt;=20,"Critical",IF($F349&gt;=15,"High",IF($F349&gt;=10,"Medium",IF($F349&gt;=5,"Low",IF($F349&gt;0,"Very Low","")))))</f>
        <v/>
      </c>
      <c r="H349" s="5" t="n"/>
    </row>
    <row r="350">
      <c r="B350" s="6" t="n"/>
      <c r="F350">
        <f>D350*E350</f>
        <v/>
      </c>
      <c r="G350">
        <f>IF($F350&gt;=20,"Critical",IF($F350&gt;=15,"High",IF($F350&gt;=10,"Medium",IF($F350&gt;=5,"Low",IF($F350&gt;0,"Very Low","")))))</f>
        <v/>
      </c>
      <c r="H350" s="5" t="n"/>
    </row>
    <row r="351">
      <c r="B351" s="6" t="n"/>
      <c r="F351">
        <f>D351*E351</f>
        <v/>
      </c>
      <c r="G351">
        <f>IF($F351&gt;=20,"Critical",IF($F351&gt;=15,"High",IF($F351&gt;=10,"Medium",IF($F351&gt;=5,"Low",IF($F351&gt;0,"Very Low","")))))</f>
        <v/>
      </c>
      <c r="H351" s="5" t="n"/>
    </row>
    <row r="352">
      <c r="B352" s="6" t="n"/>
      <c r="F352">
        <f>D352*E352</f>
        <v/>
      </c>
      <c r="G352">
        <f>IF($F352&gt;=20,"Critical",IF($F352&gt;=15,"High",IF($F352&gt;=10,"Medium",IF($F352&gt;=5,"Low",IF($F352&gt;0,"Very Low","")))))</f>
        <v/>
      </c>
      <c r="H352" s="5" t="n"/>
    </row>
    <row r="353">
      <c r="B353" s="6" t="n"/>
      <c r="F353">
        <f>D353*E353</f>
        <v/>
      </c>
      <c r="G353">
        <f>IF($F353&gt;=20,"Critical",IF($F353&gt;=15,"High",IF($F353&gt;=10,"Medium",IF($F353&gt;=5,"Low",IF($F353&gt;0,"Very Low","")))))</f>
        <v/>
      </c>
      <c r="H353" s="5" t="n"/>
    </row>
    <row r="354">
      <c r="B354" s="6" t="n"/>
      <c r="F354">
        <f>D354*E354</f>
        <v/>
      </c>
      <c r="G354">
        <f>IF($F354&gt;=20,"Critical",IF($F354&gt;=15,"High",IF($F354&gt;=10,"Medium",IF($F354&gt;=5,"Low",IF($F354&gt;0,"Very Low","")))))</f>
        <v/>
      </c>
      <c r="H354" s="5" t="n"/>
    </row>
    <row r="355">
      <c r="B355" s="6" t="n"/>
      <c r="F355">
        <f>D355*E355</f>
        <v/>
      </c>
      <c r="G355">
        <f>IF($F355&gt;=20,"Critical",IF($F355&gt;=15,"High",IF($F355&gt;=10,"Medium",IF($F355&gt;=5,"Low",IF($F355&gt;0,"Very Low","")))))</f>
        <v/>
      </c>
      <c r="H355" s="5" t="n"/>
    </row>
    <row r="356">
      <c r="B356" s="6" t="n"/>
      <c r="F356">
        <f>D356*E356</f>
        <v/>
      </c>
      <c r="G356">
        <f>IF($F356&gt;=20,"Critical",IF($F356&gt;=15,"High",IF($F356&gt;=10,"Medium",IF($F356&gt;=5,"Low",IF($F356&gt;0,"Very Low","")))))</f>
        <v/>
      </c>
      <c r="H356" s="5" t="n"/>
    </row>
    <row r="357">
      <c r="B357" s="6" t="n"/>
      <c r="F357">
        <f>D357*E357</f>
        <v/>
      </c>
      <c r="G357">
        <f>IF($F357&gt;=20,"Critical",IF($F357&gt;=15,"High",IF($F357&gt;=10,"Medium",IF($F357&gt;=5,"Low",IF($F357&gt;0,"Very Low","")))))</f>
        <v/>
      </c>
      <c r="H357" s="5" t="n"/>
    </row>
    <row r="358">
      <c r="B358" s="6" t="n"/>
      <c r="F358">
        <f>D358*E358</f>
        <v/>
      </c>
      <c r="G358">
        <f>IF($F358&gt;=20,"Critical",IF($F358&gt;=15,"High",IF($F358&gt;=10,"Medium",IF($F358&gt;=5,"Low",IF($F358&gt;0,"Very Low","")))))</f>
        <v/>
      </c>
      <c r="H358" s="5" t="n"/>
    </row>
    <row r="359">
      <c r="B359" s="6" t="n"/>
      <c r="F359">
        <f>D359*E359</f>
        <v/>
      </c>
      <c r="G359">
        <f>IF($F359&gt;=20,"Critical",IF($F359&gt;=15,"High",IF($F359&gt;=10,"Medium",IF($F359&gt;=5,"Low",IF($F359&gt;0,"Very Low","")))))</f>
        <v/>
      </c>
      <c r="H359" s="5" t="n"/>
    </row>
    <row r="360">
      <c r="B360" s="6" t="n"/>
      <c r="F360">
        <f>D360*E360</f>
        <v/>
      </c>
      <c r="G360">
        <f>IF($F360&gt;=20,"Critical",IF($F360&gt;=15,"High",IF($F360&gt;=10,"Medium",IF($F360&gt;=5,"Low",IF($F360&gt;0,"Very Low","")))))</f>
        <v/>
      </c>
      <c r="H360" s="5" t="n"/>
    </row>
    <row r="361">
      <c r="B361" s="6" t="n"/>
      <c r="F361">
        <f>D361*E361</f>
        <v/>
      </c>
      <c r="G361">
        <f>IF($F361&gt;=20,"Critical",IF($F361&gt;=15,"High",IF($F361&gt;=10,"Medium",IF($F361&gt;=5,"Low",IF($F361&gt;0,"Very Low","")))))</f>
        <v/>
      </c>
      <c r="H361" s="5" t="n"/>
    </row>
    <row r="362">
      <c r="B362" s="6" t="n"/>
      <c r="F362">
        <f>D362*E362</f>
        <v/>
      </c>
      <c r="G362">
        <f>IF($F362&gt;=20,"Critical",IF($F362&gt;=15,"High",IF($F362&gt;=10,"Medium",IF($F362&gt;=5,"Low",IF($F362&gt;0,"Very Low","")))))</f>
        <v/>
      </c>
      <c r="H362" s="5" t="n"/>
    </row>
    <row r="363">
      <c r="B363" s="6" t="n"/>
      <c r="F363">
        <f>D363*E363</f>
        <v/>
      </c>
      <c r="G363">
        <f>IF($F363&gt;=20,"Critical",IF($F363&gt;=15,"High",IF($F363&gt;=10,"Medium",IF($F363&gt;=5,"Low",IF($F363&gt;0,"Very Low","")))))</f>
        <v/>
      </c>
      <c r="H363" s="5" t="n"/>
    </row>
    <row r="364">
      <c r="B364" s="6" t="n"/>
      <c r="F364">
        <f>D364*E364</f>
        <v/>
      </c>
      <c r="G364">
        <f>IF($F364&gt;=20,"Critical",IF($F364&gt;=15,"High",IF($F364&gt;=10,"Medium",IF($F364&gt;=5,"Low",IF($F364&gt;0,"Very Low","")))))</f>
        <v/>
      </c>
      <c r="H364" s="5" t="n"/>
    </row>
    <row r="365">
      <c r="B365" s="6" t="n"/>
      <c r="F365">
        <f>D365*E365</f>
        <v/>
      </c>
      <c r="G365">
        <f>IF($F365&gt;=20,"Critical",IF($F365&gt;=15,"High",IF($F365&gt;=10,"Medium",IF($F365&gt;=5,"Low",IF($F365&gt;0,"Very Low","")))))</f>
        <v/>
      </c>
      <c r="H365" s="5" t="n"/>
    </row>
    <row r="366">
      <c r="B366" s="6" t="n"/>
      <c r="F366">
        <f>D366*E366</f>
        <v/>
      </c>
      <c r="G366">
        <f>IF($F366&gt;=20,"Critical",IF($F366&gt;=15,"High",IF($F366&gt;=10,"Medium",IF($F366&gt;=5,"Low",IF($F366&gt;0,"Very Low","")))))</f>
        <v/>
      </c>
      <c r="H366" s="5" t="n"/>
    </row>
    <row r="367">
      <c r="B367" s="6" t="n"/>
      <c r="F367">
        <f>D367*E367</f>
        <v/>
      </c>
      <c r="G367">
        <f>IF($F367&gt;=20,"Critical",IF($F367&gt;=15,"High",IF($F367&gt;=10,"Medium",IF($F367&gt;=5,"Low",IF($F367&gt;0,"Very Low","")))))</f>
        <v/>
      </c>
      <c r="H367" s="5" t="n"/>
    </row>
    <row r="368">
      <c r="B368" s="6" t="n"/>
      <c r="F368">
        <f>D368*E368</f>
        <v/>
      </c>
      <c r="G368">
        <f>IF($F368&gt;=20,"Critical",IF($F368&gt;=15,"High",IF($F368&gt;=10,"Medium",IF($F368&gt;=5,"Low",IF($F368&gt;0,"Very Low","")))))</f>
        <v/>
      </c>
      <c r="H368" s="5" t="n"/>
    </row>
    <row r="369">
      <c r="B369" s="6" t="n"/>
      <c r="F369">
        <f>D369*E369</f>
        <v/>
      </c>
      <c r="G369">
        <f>IF($F369&gt;=20,"Critical",IF($F369&gt;=15,"High",IF($F369&gt;=10,"Medium",IF($F369&gt;=5,"Low",IF($F369&gt;0,"Very Low","")))))</f>
        <v/>
      </c>
      <c r="H369" s="5" t="n"/>
    </row>
    <row r="370">
      <c r="B370" s="6" t="n"/>
      <c r="F370">
        <f>D370*E370</f>
        <v/>
      </c>
      <c r="G370">
        <f>IF($F370&gt;=20,"Critical",IF($F370&gt;=15,"High",IF($F370&gt;=10,"Medium",IF($F370&gt;=5,"Low",IF($F370&gt;0,"Very Low","")))))</f>
        <v/>
      </c>
      <c r="H370" s="5" t="n"/>
    </row>
    <row r="371">
      <c r="B371" s="6" t="n"/>
      <c r="F371">
        <f>D371*E371</f>
        <v/>
      </c>
      <c r="G371">
        <f>IF($F371&gt;=20,"Critical",IF($F371&gt;=15,"High",IF($F371&gt;=10,"Medium",IF($F371&gt;=5,"Low",IF($F371&gt;0,"Very Low","")))))</f>
        <v/>
      </c>
      <c r="H371" s="5" t="n"/>
    </row>
    <row r="372">
      <c r="B372" s="6" t="n"/>
      <c r="F372">
        <f>D372*E372</f>
        <v/>
      </c>
      <c r="G372">
        <f>IF($F372&gt;=20,"Critical",IF($F372&gt;=15,"High",IF($F372&gt;=10,"Medium",IF($F372&gt;=5,"Low",IF($F372&gt;0,"Very Low","")))))</f>
        <v/>
      </c>
      <c r="H372" s="5" t="n"/>
    </row>
    <row r="373">
      <c r="B373" s="6" t="n"/>
      <c r="F373">
        <f>D373*E373</f>
        <v/>
      </c>
      <c r="G373">
        <f>IF($F373&gt;=20,"Critical",IF($F373&gt;=15,"High",IF($F373&gt;=10,"Medium",IF($F373&gt;=5,"Low",IF($F373&gt;0,"Very Low","")))))</f>
        <v/>
      </c>
      <c r="H373" s="5" t="n"/>
    </row>
    <row r="374">
      <c r="B374" s="6" t="n"/>
      <c r="F374">
        <f>D374*E374</f>
        <v/>
      </c>
      <c r="G374">
        <f>IF($F374&gt;=20,"Critical",IF($F374&gt;=15,"High",IF($F374&gt;=10,"Medium",IF($F374&gt;=5,"Low",IF($F374&gt;0,"Very Low","")))))</f>
        <v/>
      </c>
      <c r="H374" s="5" t="n"/>
    </row>
    <row r="375">
      <c r="B375" s="6" t="n"/>
      <c r="F375">
        <f>D375*E375</f>
        <v/>
      </c>
      <c r="G375">
        <f>IF($F375&gt;=20,"Critical",IF($F375&gt;=15,"High",IF($F375&gt;=10,"Medium",IF($F375&gt;=5,"Low",IF($F375&gt;0,"Very Low","")))))</f>
        <v/>
      </c>
      <c r="H375" s="5" t="n"/>
    </row>
    <row r="376">
      <c r="B376" s="6" t="n"/>
      <c r="F376">
        <f>D376*E376</f>
        <v/>
      </c>
      <c r="G376">
        <f>IF($F376&gt;=20,"Critical",IF($F376&gt;=15,"High",IF($F376&gt;=10,"Medium",IF($F376&gt;=5,"Low",IF($F376&gt;0,"Very Low","")))))</f>
        <v/>
      </c>
      <c r="H376" s="5" t="n"/>
    </row>
    <row r="377">
      <c r="B377" s="6" t="n"/>
      <c r="F377">
        <f>D377*E377</f>
        <v/>
      </c>
      <c r="G377">
        <f>IF($F377&gt;=20,"Critical",IF($F377&gt;=15,"High",IF($F377&gt;=10,"Medium",IF($F377&gt;=5,"Low",IF($F377&gt;0,"Very Low","")))))</f>
        <v/>
      </c>
      <c r="H377" s="5" t="n"/>
    </row>
    <row r="378">
      <c r="B378" s="6" t="n"/>
      <c r="F378">
        <f>D378*E378</f>
        <v/>
      </c>
      <c r="G378">
        <f>IF($F378&gt;=20,"Critical",IF($F378&gt;=15,"High",IF($F378&gt;=10,"Medium",IF($F378&gt;=5,"Low",IF($F378&gt;0,"Very Low","")))))</f>
        <v/>
      </c>
      <c r="H378" s="5" t="n"/>
    </row>
    <row r="379">
      <c r="B379" s="6" t="n"/>
      <c r="F379">
        <f>D379*E379</f>
        <v/>
      </c>
      <c r="G379">
        <f>IF($F379&gt;=20,"Critical",IF($F379&gt;=15,"High",IF($F379&gt;=10,"Medium",IF($F379&gt;=5,"Low",IF($F379&gt;0,"Very Low","")))))</f>
        <v/>
      </c>
      <c r="H379" s="5" t="n"/>
    </row>
    <row r="380">
      <c r="B380" s="6" t="n"/>
      <c r="F380">
        <f>D380*E380</f>
        <v/>
      </c>
      <c r="G380">
        <f>IF($F380&gt;=20,"Critical",IF($F380&gt;=15,"High",IF($F380&gt;=10,"Medium",IF($F380&gt;=5,"Low",IF($F380&gt;0,"Very Low","")))))</f>
        <v/>
      </c>
      <c r="H380" s="5" t="n"/>
    </row>
    <row r="381">
      <c r="B381" s="6" t="n"/>
      <c r="F381">
        <f>D381*E381</f>
        <v/>
      </c>
      <c r="G381">
        <f>IF($F381&gt;=20,"Critical",IF($F381&gt;=15,"High",IF($F381&gt;=10,"Medium",IF($F381&gt;=5,"Low",IF($F381&gt;0,"Very Low","")))))</f>
        <v/>
      </c>
      <c r="H381" s="5" t="n"/>
    </row>
    <row r="382">
      <c r="B382" s="6" t="n"/>
      <c r="F382">
        <f>D382*E382</f>
        <v/>
      </c>
      <c r="G382">
        <f>IF($F382&gt;=20,"Critical",IF($F382&gt;=15,"High",IF($F382&gt;=10,"Medium",IF($F382&gt;=5,"Low",IF($F382&gt;0,"Very Low","")))))</f>
        <v/>
      </c>
      <c r="H382" s="5" t="n"/>
    </row>
    <row r="383">
      <c r="B383" s="6" t="n"/>
      <c r="F383">
        <f>D383*E383</f>
        <v/>
      </c>
      <c r="G383">
        <f>IF($F383&gt;=20,"Critical",IF($F383&gt;=15,"High",IF($F383&gt;=10,"Medium",IF($F383&gt;=5,"Low",IF($F383&gt;0,"Very Low","")))))</f>
        <v/>
      </c>
      <c r="H383" s="5" t="n"/>
    </row>
    <row r="384">
      <c r="B384" s="6" t="n"/>
      <c r="F384">
        <f>D384*E384</f>
        <v/>
      </c>
      <c r="G384">
        <f>IF($F384&gt;=20,"Critical",IF($F384&gt;=15,"High",IF($F384&gt;=10,"Medium",IF($F384&gt;=5,"Low",IF($F384&gt;0,"Very Low","")))))</f>
        <v/>
      </c>
      <c r="H384" s="5" t="n"/>
    </row>
    <row r="385">
      <c r="B385" s="6" t="n"/>
      <c r="F385">
        <f>D385*E385</f>
        <v/>
      </c>
      <c r="G385">
        <f>IF($F385&gt;=20,"Critical",IF($F385&gt;=15,"High",IF($F385&gt;=10,"Medium",IF($F385&gt;=5,"Low",IF($F385&gt;0,"Very Low","")))))</f>
        <v/>
      </c>
      <c r="H385" s="5" t="n"/>
    </row>
    <row r="386">
      <c r="B386" s="6" t="n"/>
      <c r="F386">
        <f>D386*E386</f>
        <v/>
      </c>
      <c r="G386">
        <f>IF($F386&gt;=20,"Critical",IF($F386&gt;=15,"High",IF($F386&gt;=10,"Medium",IF($F386&gt;=5,"Low",IF($F386&gt;0,"Very Low","")))))</f>
        <v/>
      </c>
      <c r="H386" s="5" t="n"/>
    </row>
    <row r="387">
      <c r="B387" s="6" t="n"/>
      <c r="F387">
        <f>D387*E387</f>
        <v/>
      </c>
      <c r="G387">
        <f>IF($F387&gt;=20,"Critical",IF($F387&gt;=15,"High",IF($F387&gt;=10,"Medium",IF($F387&gt;=5,"Low",IF($F387&gt;0,"Very Low","")))))</f>
        <v/>
      </c>
      <c r="H387" s="5" t="n"/>
    </row>
    <row r="388">
      <c r="B388" s="6" t="n"/>
      <c r="F388">
        <f>D388*E388</f>
        <v/>
      </c>
      <c r="G388">
        <f>IF($F388&gt;=20,"Critical",IF($F388&gt;=15,"High",IF($F388&gt;=10,"Medium",IF($F388&gt;=5,"Low",IF($F388&gt;0,"Very Low","")))))</f>
        <v/>
      </c>
      <c r="H388" s="5" t="n"/>
    </row>
    <row r="389">
      <c r="B389" s="6" t="n"/>
      <c r="F389">
        <f>D389*E389</f>
        <v/>
      </c>
      <c r="G389">
        <f>IF($F389&gt;=20,"Critical",IF($F389&gt;=15,"High",IF($F389&gt;=10,"Medium",IF($F389&gt;=5,"Low",IF($F389&gt;0,"Very Low","")))))</f>
        <v/>
      </c>
      <c r="H389" s="5" t="n"/>
    </row>
    <row r="390">
      <c r="B390" s="6" t="n"/>
      <c r="F390">
        <f>D390*E390</f>
        <v/>
      </c>
      <c r="G390">
        <f>IF($F390&gt;=20,"Critical",IF($F390&gt;=15,"High",IF($F390&gt;=10,"Medium",IF($F390&gt;=5,"Low",IF($F390&gt;0,"Very Low","")))))</f>
        <v/>
      </c>
      <c r="H390" s="5" t="n"/>
    </row>
    <row r="391">
      <c r="B391" s="6" t="n"/>
      <c r="F391">
        <f>D391*E391</f>
        <v/>
      </c>
      <c r="G391">
        <f>IF($F391&gt;=20,"Critical",IF($F391&gt;=15,"High",IF($F391&gt;=10,"Medium",IF($F391&gt;=5,"Low",IF($F391&gt;0,"Very Low","")))))</f>
        <v/>
      </c>
      <c r="H391" s="5" t="n"/>
    </row>
    <row r="392">
      <c r="B392" s="6" t="n"/>
      <c r="F392">
        <f>D392*E392</f>
        <v/>
      </c>
      <c r="G392">
        <f>IF($F392&gt;=20,"Critical",IF($F392&gt;=15,"High",IF($F392&gt;=10,"Medium",IF($F392&gt;=5,"Low",IF($F392&gt;0,"Very Low","")))))</f>
        <v/>
      </c>
      <c r="H392" s="5" t="n"/>
    </row>
    <row r="393">
      <c r="B393" s="6" t="n"/>
      <c r="F393">
        <f>D393*E393</f>
        <v/>
      </c>
      <c r="G393">
        <f>IF($F393&gt;=20,"Critical",IF($F393&gt;=15,"High",IF($F393&gt;=10,"Medium",IF($F393&gt;=5,"Low",IF($F393&gt;0,"Very Low","")))))</f>
        <v/>
      </c>
      <c r="H393" s="5" t="n"/>
    </row>
    <row r="394">
      <c r="B394" s="6" t="n"/>
      <c r="F394">
        <f>D394*E394</f>
        <v/>
      </c>
      <c r="G394">
        <f>IF($F394&gt;=20,"Critical",IF($F394&gt;=15,"High",IF($F394&gt;=10,"Medium",IF($F394&gt;=5,"Low",IF($F394&gt;0,"Very Low","")))))</f>
        <v/>
      </c>
      <c r="H394" s="5" t="n"/>
    </row>
    <row r="395">
      <c r="B395" s="6" t="n"/>
      <c r="F395">
        <f>D395*E395</f>
        <v/>
      </c>
      <c r="G395">
        <f>IF($F395&gt;=20,"Critical",IF($F395&gt;=15,"High",IF($F395&gt;=10,"Medium",IF($F395&gt;=5,"Low",IF($F395&gt;0,"Very Low","")))))</f>
        <v/>
      </c>
      <c r="H395" s="5" t="n"/>
    </row>
    <row r="396">
      <c r="B396" s="6" t="n"/>
      <c r="F396">
        <f>D396*E396</f>
        <v/>
      </c>
      <c r="G396">
        <f>IF($F396&gt;=20,"Critical",IF($F396&gt;=15,"High",IF($F396&gt;=10,"Medium",IF($F396&gt;=5,"Low",IF($F396&gt;0,"Very Low","")))))</f>
        <v/>
      </c>
      <c r="H396" s="5" t="n"/>
    </row>
    <row r="397">
      <c r="B397" s="6" t="n"/>
      <c r="F397">
        <f>D397*E397</f>
        <v/>
      </c>
      <c r="G397">
        <f>IF($F397&gt;=20,"Critical",IF($F397&gt;=15,"High",IF($F397&gt;=10,"Medium",IF($F397&gt;=5,"Low",IF($F397&gt;0,"Very Low","")))))</f>
        <v/>
      </c>
      <c r="H397" s="5" t="n"/>
    </row>
    <row r="398">
      <c r="B398" s="6" t="n"/>
      <c r="F398">
        <f>D398*E398</f>
        <v/>
      </c>
      <c r="G398">
        <f>IF($F398&gt;=20,"Critical",IF($F398&gt;=15,"High",IF($F398&gt;=10,"Medium",IF($F398&gt;=5,"Low",IF($F398&gt;0,"Very Low","")))))</f>
        <v/>
      </c>
      <c r="H398" s="5" t="n"/>
    </row>
    <row r="399">
      <c r="B399" s="6" t="n"/>
      <c r="F399">
        <f>D399*E399</f>
        <v/>
      </c>
      <c r="G399">
        <f>IF($F399&gt;=20,"Critical",IF($F399&gt;=15,"High",IF($F399&gt;=10,"Medium",IF($F399&gt;=5,"Low",IF($F399&gt;0,"Very Low","")))))</f>
        <v/>
      </c>
      <c r="H399" s="5" t="n"/>
    </row>
    <row r="400">
      <c r="B400" s="6" t="n"/>
      <c r="F400">
        <f>D400*E400</f>
        <v/>
      </c>
      <c r="G400">
        <f>IF($F400&gt;=20,"Critical",IF($F400&gt;=15,"High",IF($F400&gt;=10,"Medium",IF($F400&gt;=5,"Low",IF($F400&gt;0,"Very Low","")))))</f>
        <v/>
      </c>
      <c r="H400" s="5" t="n"/>
    </row>
    <row r="401">
      <c r="B401" s="6" t="n"/>
      <c r="F401">
        <f>D401*E401</f>
        <v/>
      </c>
      <c r="G401">
        <f>IF($F401&gt;=20,"Critical",IF($F401&gt;=15,"High",IF($F401&gt;=10,"Medium",IF($F401&gt;=5,"Low",IF($F401&gt;0,"Very Low","")))))</f>
        <v/>
      </c>
      <c r="H401" s="5" t="n"/>
    </row>
    <row r="402">
      <c r="B402" s="6" t="n"/>
      <c r="F402">
        <f>D402*E402</f>
        <v/>
      </c>
      <c r="G402">
        <f>IF($F402&gt;=20,"Critical",IF($F402&gt;=15,"High",IF($F402&gt;=10,"Medium",IF($F402&gt;=5,"Low",IF($F402&gt;0,"Very Low","")))))</f>
        <v/>
      </c>
      <c r="H402" s="5" t="n"/>
    </row>
    <row r="403">
      <c r="B403" s="6" t="n"/>
      <c r="F403">
        <f>D403*E403</f>
        <v/>
      </c>
      <c r="G403">
        <f>IF($F403&gt;=20,"Critical",IF($F403&gt;=15,"High",IF($F403&gt;=10,"Medium",IF($F403&gt;=5,"Low",IF($F403&gt;0,"Very Low","")))))</f>
        <v/>
      </c>
      <c r="H403" s="5" t="n"/>
    </row>
    <row r="404">
      <c r="B404" s="6" t="n"/>
      <c r="F404">
        <f>D404*E404</f>
        <v/>
      </c>
      <c r="G404">
        <f>IF($F404&gt;=20,"Critical",IF($F404&gt;=15,"High",IF($F404&gt;=10,"Medium",IF($F404&gt;=5,"Low",IF($F404&gt;0,"Very Low","")))))</f>
        <v/>
      </c>
      <c r="H404" s="5" t="n"/>
    </row>
    <row r="405">
      <c r="B405" s="6" t="n"/>
      <c r="F405">
        <f>D405*E405</f>
        <v/>
      </c>
      <c r="G405">
        <f>IF($F405&gt;=20,"Critical",IF($F405&gt;=15,"High",IF($F405&gt;=10,"Medium",IF($F405&gt;=5,"Low",IF($F405&gt;0,"Very Low","")))))</f>
        <v/>
      </c>
      <c r="H405" s="5" t="n"/>
    </row>
    <row r="406">
      <c r="B406" s="6" t="n"/>
      <c r="F406">
        <f>D406*E406</f>
        <v/>
      </c>
      <c r="G406">
        <f>IF($F406&gt;=20,"Critical",IF($F406&gt;=15,"High",IF($F406&gt;=10,"Medium",IF($F406&gt;=5,"Low",IF($F406&gt;0,"Very Low","")))))</f>
        <v/>
      </c>
      <c r="H406" s="5" t="n"/>
    </row>
    <row r="407">
      <c r="B407" s="6" t="n"/>
      <c r="F407">
        <f>D407*E407</f>
        <v/>
      </c>
      <c r="G407">
        <f>IF($F407&gt;=20,"Critical",IF($F407&gt;=15,"High",IF($F407&gt;=10,"Medium",IF($F407&gt;=5,"Low",IF($F407&gt;0,"Very Low","")))))</f>
        <v/>
      </c>
      <c r="H407" s="5" t="n"/>
    </row>
    <row r="408">
      <c r="B408" s="6" t="n"/>
      <c r="F408">
        <f>D408*E408</f>
        <v/>
      </c>
      <c r="G408">
        <f>IF($F408&gt;=20,"Critical",IF($F408&gt;=15,"High",IF($F408&gt;=10,"Medium",IF($F408&gt;=5,"Low",IF($F408&gt;0,"Very Low","")))))</f>
        <v/>
      </c>
      <c r="H408" s="5" t="n"/>
    </row>
    <row r="409">
      <c r="B409" s="6" t="n"/>
      <c r="F409">
        <f>D409*E409</f>
        <v/>
      </c>
      <c r="G409">
        <f>IF($F409&gt;=20,"Critical",IF($F409&gt;=15,"High",IF($F409&gt;=10,"Medium",IF($F409&gt;=5,"Low",IF($F409&gt;0,"Very Low","")))))</f>
        <v/>
      </c>
      <c r="H409" s="5" t="n"/>
    </row>
    <row r="410">
      <c r="B410" s="6" t="n"/>
      <c r="F410">
        <f>D410*E410</f>
        <v/>
      </c>
      <c r="G410">
        <f>IF($F410&gt;=20,"Critical",IF($F410&gt;=15,"High",IF($F410&gt;=10,"Medium",IF($F410&gt;=5,"Low",IF($F410&gt;0,"Very Low","")))))</f>
        <v/>
      </c>
      <c r="H410" s="5" t="n"/>
    </row>
    <row r="411">
      <c r="B411" s="6" t="n"/>
      <c r="F411">
        <f>D411*E411</f>
        <v/>
      </c>
      <c r="G411">
        <f>IF($F411&gt;=20,"Critical",IF($F411&gt;=15,"High",IF($F411&gt;=10,"Medium",IF($F411&gt;=5,"Low",IF($F411&gt;0,"Very Low","")))))</f>
        <v/>
      </c>
      <c r="H411" s="5" t="n"/>
    </row>
    <row r="412">
      <c r="B412" s="6" t="n"/>
      <c r="F412">
        <f>D412*E412</f>
        <v/>
      </c>
      <c r="G412">
        <f>IF($F412&gt;=20,"Critical",IF($F412&gt;=15,"High",IF($F412&gt;=10,"Medium",IF($F412&gt;=5,"Low",IF($F412&gt;0,"Very Low","")))))</f>
        <v/>
      </c>
      <c r="H412" s="5" t="n"/>
    </row>
    <row r="413">
      <c r="B413" s="6" t="n"/>
      <c r="F413">
        <f>D413*E413</f>
        <v/>
      </c>
      <c r="G413">
        <f>IF($F413&gt;=20,"Critical",IF($F413&gt;=15,"High",IF($F413&gt;=10,"Medium",IF($F413&gt;=5,"Low",IF($F413&gt;0,"Very Low","")))))</f>
        <v/>
      </c>
      <c r="H413" s="5" t="n"/>
    </row>
    <row r="414">
      <c r="B414" s="6" t="n"/>
      <c r="F414">
        <f>D414*E414</f>
        <v/>
      </c>
      <c r="G414">
        <f>IF($F414&gt;=20,"Critical",IF($F414&gt;=15,"High",IF($F414&gt;=10,"Medium",IF($F414&gt;=5,"Low",IF($F414&gt;0,"Very Low","")))))</f>
        <v/>
      </c>
      <c r="H414" s="5" t="n"/>
    </row>
    <row r="415">
      <c r="B415" s="6" t="n"/>
      <c r="F415">
        <f>D415*E415</f>
        <v/>
      </c>
      <c r="G415">
        <f>IF($F415&gt;=20,"Critical",IF($F415&gt;=15,"High",IF($F415&gt;=10,"Medium",IF($F415&gt;=5,"Low",IF($F415&gt;0,"Very Low","")))))</f>
        <v/>
      </c>
      <c r="H415" s="5" t="n"/>
    </row>
    <row r="416">
      <c r="B416" s="6" t="n"/>
      <c r="F416">
        <f>D416*E416</f>
        <v/>
      </c>
      <c r="G416">
        <f>IF($F416&gt;=20,"Critical",IF($F416&gt;=15,"High",IF($F416&gt;=10,"Medium",IF($F416&gt;=5,"Low",IF($F416&gt;0,"Very Low","")))))</f>
        <v/>
      </c>
      <c r="H416" s="5" t="n"/>
    </row>
    <row r="417">
      <c r="B417" s="6" t="n"/>
      <c r="F417">
        <f>D417*E417</f>
        <v/>
      </c>
      <c r="G417">
        <f>IF($F417&gt;=20,"Critical",IF($F417&gt;=15,"High",IF($F417&gt;=10,"Medium",IF($F417&gt;=5,"Low",IF($F417&gt;0,"Very Low","")))))</f>
        <v/>
      </c>
      <c r="H417" s="5" t="n"/>
    </row>
    <row r="418">
      <c r="B418" s="6" t="n"/>
      <c r="F418">
        <f>D418*E418</f>
        <v/>
      </c>
      <c r="G418">
        <f>IF($F418&gt;=20,"Critical",IF($F418&gt;=15,"High",IF($F418&gt;=10,"Medium",IF($F418&gt;=5,"Low",IF($F418&gt;0,"Very Low","")))))</f>
        <v/>
      </c>
      <c r="H418" s="5" t="n"/>
    </row>
    <row r="419">
      <c r="B419" s="6" t="n"/>
      <c r="F419">
        <f>D419*E419</f>
        <v/>
      </c>
      <c r="G419">
        <f>IF($F419&gt;=20,"Critical",IF($F419&gt;=15,"High",IF($F419&gt;=10,"Medium",IF($F419&gt;=5,"Low",IF($F419&gt;0,"Very Low","")))))</f>
        <v/>
      </c>
      <c r="H419" s="5" t="n"/>
    </row>
    <row r="420">
      <c r="B420" s="6" t="n"/>
      <c r="F420">
        <f>D420*E420</f>
        <v/>
      </c>
      <c r="G420">
        <f>IF($F420&gt;=20,"Critical",IF($F420&gt;=15,"High",IF($F420&gt;=10,"Medium",IF($F420&gt;=5,"Low",IF($F420&gt;0,"Very Low","")))))</f>
        <v/>
      </c>
      <c r="H420" s="5" t="n"/>
    </row>
    <row r="421">
      <c r="B421" s="6" t="n"/>
      <c r="F421">
        <f>D421*E421</f>
        <v/>
      </c>
      <c r="G421">
        <f>IF($F421&gt;=20,"Critical",IF($F421&gt;=15,"High",IF($F421&gt;=10,"Medium",IF($F421&gt;=5,"Low",IF($F421&gt;0,"Very Low","")))))</f>
        <v/>
      </c>
      <c r="H421" s="5" t="n"/>
    </row>
    <row r="422">
      <c r="B422" s="6" t="n"/>
      <c r="F422">
        <f>D422*E422</f>
        <v/>
      </c>
      <c r="G422">
        <f>IF($F422&gt;=20,"Critical",IF($F422&gt;=15,"High",IF($F422&gt;=10,"Medium",IF($F422&gt;=5,"Low",IF($F422&gt;0,"Very Low","")))))</f>
        <v/>
      </c>
      <c r="H422" s="5" t="n"/>
    </row>
    <row r="423">
      <c r="B423" s="6" t="n"/>
      <c r="F423">
        <f>D423*E423</f>
        <v/>
      </c>
      <c r="G423">
        <f>IF($F423&gt;=20,"Critical",IF($F423&gt;=15,"High",IF($F423&gt;=10,"Medium",IF($F423&gt;=5,"Low",IF($F423&gt;0,"Very Low","")))))</f>
        <v/>
      </c>
      <c r="H423" s="5" t="n"/>
    </row>
    <row r="424">
      <c r="B424" s="6" t="n"/>
      <c r="F424">
        <f>D424*E424</f>
        <v/>
      </c>
      <c r="G424">
        <f>IF($F424&gt;=20,"Critical",IF($F424&gt;=15,"High",IF($F424&gt;=10,"Medium",IF($F424&gt;=5,"Low",IF($F424&gt;0,"Very Low","")))))</f>
        <v/>
      </c>
      <c r="H424" s="5" t="n"/>
    </row>
    <row r="425">
      <c r="B425" s="6" t="n"/>
      <c r="F425">
        <f>D425*E425</f>
        <v/>
      </c>
      <c r="G425">
        <f>IF($F425&gt;=20,"Critical",IF($F425&gt;=15,"High",IF($F425&gt;=10,"Medium",IF($F425&gt;=5,"Low",IF($F425&gt;0,"Very Low","")))))</f>
        <v/>
      </c>
      <c r="H425" s="5" t="n"/>
    </row>
    <row r="426">
      <c r="B426" s="6" t="n"/>
      <c r="F426">
        <f>D426*E426</f>
        <v/>
      </c>
      <c r="G426">
        <f>IF($F426&gt;=20,"Critical",IF($F426&gt;=15,"High",IF($F426&gt;=10,"Medium",IF($F426&gt;=5,"Low",IF($F426&gt;0,"Very Low","")))))</f>
        <v/>
      </c>
      <c r="H426" s="5" t="n"/>
    </row>
    <row r="427">
      <c r="B427" s="6" t="n"/>
      <c r="F427">
        <f>D427*E427</f>
        <v/>
      </c>
      <c r="G427">
        <f>IF($F427&gt;=20,"Critical",IF($F427&gt;=15,"High",IF($F427&gt;=10,"Medium",IF($F427&gt;=5,"Low",IF($F427&gt;0,"Very Low","")))))</f>
        <v/>
      </c>
      <c r="H427" s="5" t="n"/>
    </row>
    <row r="428">
      <c r="B428" s="6" t="n"/>
      <c r="F428">
        <f>D428*E428</f>
        <v/>
      </c>
      <c r="G428">
        <f>IF($F428&gt;=20,"Critical",IF($F428&gt;=15,"High",IF($F428&gt;=10,"Medium",IF($F428&gt;=5,"Low",IF($F428&gt;0,"Very Low","")))))</f>
        <v/>
      </c>
      <c r="H428" s="5" t="n"/>
    </row>
    <row r="429">
      <c r="B429" s="6" t="n"/>
      <c r="F429">
        <f>D429*E429</f>
        <v/>
      </c>
      <c r="G429">
        <f>IF($F429&gt;=20,"Critical",IF($F429&gt;=15,"High",IF($F429&gt;=10,"Medium",IF($F429&gt;=5,"Low",IF($F429&gt;0,"Very Low","")))))</f>
        <v/>
      </c>
      <c r="H429" s="5" t="n"/>
    </row>
    <row r="430">
      <c r="B430" s="6" t="n"/>
      <c r="F430">
        <f>D430*E430</f>
        <v/>
      </c>
      <c r="G430">
        <f>IF($F430&gt;=20,"Critical",IF($F430&gt;=15,"High",IF($F430&gt;=10,"Medium",IF($F430&gt;=5,"Low",IF($F430&gt;0,"Very Low","")))))</f>
        <v/>
      </c>
      <c r="H430" s="5" t="n"/>
    </row>
    <row r="431">
      <c r="B431" s="6" t="n"/>
      <c r="F431">
        <f>D431*E431</f>
        <v/>
      </c>
      <c r="G431">
        <f>IF($F431&gt;=20,"Critical",IF($F431&gt;=15,"High",IF($F431&gt;=10,"Medium",IF($F431&gt;=5,"Low",IF($F431&gt;0,"Very Low","")))))</f>
        <v/>
      </c>
      <c r="H431" s="5" t="n"/>
    </row>
    <row r="432">
      <c r="B432" s="6" t="n"/>
      <c r="F432">
        <f>D432*E432</f>
        <v/>
      </c>
      <c r="G432">
        <f>IF($F432&gt;=20,"Critical",IF($F432&gt;=15,"High",IF($F432&gt;=10,"Medium",IF($F432&gt;=5,"Low",IF($F432&gt;0,"Very Low","")))))</f>
        <v/>
      </c>
      <c r="H432" s="5" t="n"/>
    </row>
    <row r="433">
      <c r="B433" s="6" t="n"/>
      <c r="F433">
        <f>D433*E433</f>
        <v/>
      </c>
      <c r="G433">
        <f>IF($F433&gt;=20,"Critical",IF($F433&gt;=15,"High",IF($F433&gt;=10,"Medium",IF($F433&gt;=5,"Low",IF($F433&gt;0,"Very Low","")))))</f>
        <v/>
      </c>
      <c r="H433" s="5" t="n"/>
    </row>
    <row r="434">
      <c r="B434" s="6" t="n"/>
      <c r="F434">
        <f>D434*E434</f>
        <v/>
      </c>
      <c r="G434">
        <f>IF($F434&gt;=20,"Critical",IF($F434&gt;=15,"High",IF($F434&gt;=10,"Medium",IF($F434&gt;=5,"Low",IF($F434&gt;0,"Very Low","")))))</f>
        <v/>
      </c>
      <c r="H434" s="5" t="n"/>
    </row>
    <row r="435">
      <c r="B435" s="6" t="n"/>
      <c r="F435">
        <f>D435*E435</f>
        <v/>
      </c>
      <c r="G435">
        <f>IF($F435&gt;=20,"Critical",IF($F435&gt;=15,"High",IF($F435&gt;=10,"Medium",IF($F435&gt;=5,"Low",IF($F435&gt;0,"Very Low","")))))</f>
        <v/>
      </c>
      <c r="H435" s="5" t="n"/>
    </row>
    <row r="436">
      <c r="B436" s="6" t="n"/>
      <c r="F436">
        <f>D436*E436</f>
        <v/>
      </c>
      <c r="G436">
        <f>IF($F436&gt;=20,"Critical",IF($F436&gt;=15,"High",IF($F436&gt;=10,"Medium",IF($F436&gt;=5,"Low",IF($F436&gt;0,"Very Low","")))))</f>
        <v/>
      </c>
      <c r="H436" s="5" t="n"/>
    </row>
    <row r="437">
      <c r="B437" s="6" t="n"/>
      <c r="F437">
        <f>D437*E437</f>
        <v/>
      </c>
      <c r="G437">
        <f>IF($F437&gt;=20,"Critical",IF($F437&gt;=15,"High",IF($F437&gt;=10,"Medium",IF($F437&gt;=5,"Low",IF($F437&gt;0,"Very Low","")))))</f>
        <v/>
      </c>
      <c r="H437" s="5" t="n"/>
    </row>
    <row r="438">
      <c r="B438" s="6" t="n"/>
      <c r="F438">
        <f>D438*E438</f>
        <v/>
      </c>
      <c r="G438">
        <f>IF($F438&gt;=20,"Critical",IF($F438&gt;=15,"High",IF($F438&gt;=10,"Medium",IF($F438&gt;=5,"Low",IF($F438&gt;0,"Very Low","")))))</f>
        <v/>
      </c>
      <c r="H438" s="5" t="n"/>
    </row>
    <row r="439">
      <c r="B439" s="6" t="n"/>
      <c r="F439">
        <f>D439*E439</f>
        <v/>
      </c>
      <c r="G439">
        <f>IF($F439&gt;=20,"Critical",IF($F439&gt;=15,"High",IF($F439&gt;=10,"Medium",IF($F439&gt;=5,"Low",IF($F439&gt;0,"Very Low","")))))</f>
        <v/>
      </c>
      <c r="H439" s="5" t="n"/>
    </row>
    <row r="440">
      <c r="B440" s="6" t="n"/>
      <c r="F440">
        <f>D440*E440</f>
        <v/>
      </c>
      <c r="G440">
        <f>IF($F440&gt;=20,"Critical",IF($F440&gt;=15,"High",IF($F440&gt;=10,"Medium",IF($F440&gt;=5,"Low",IF($F440&gt;0,"Very Low","")))))</f>
        <v/>
      </c>
      <c r="H440" s="5" t="n"/>
    </row>
    <row r="441">
      <c r="B441" s="6" t="n"/>
      <c r="F441">
        <f>D441*E441</f>
        <v/>
      </c>
      <c r="G441">
        <f>IF($F441&gt;=20,"Critical",IF($F441&gt;=15,"High",IF($F441&gt;=10,"Medium",IF($F441&gt;=5,"Low",IF($F441&gt;0,"Very Low","")))))</f>
        <v/>
      </c>
      <c r="H441" s="5" t="n"/>
    </row>
    <row r="442">
      <c r="B442" s="6" t="n"/>
      <c r="F442">
        <f>D442*E442</f>
        <v/>
      </c>
      <c r="G442">
        <f>IF($F442&gt;=20,"Critical",IF($F442&gt;=15,"High",IF($F442&gt;=10,"Medium",IF($F442&gt;=5,"Low",IF($F442&gt;0,"Very Low","")))))</f>
        <v/>
      </c>
      <c r="H442" s="5" t="n"/>
    </row>
    <row r="443">
      <c r="B443" s="6" t="n"/>
      <c r="F443">
        <f>D443*E443</f>
        <v/>
      </c>
      <c r="G443">
        <f>IF($F443&gt;=20,"Critical",IF($F443&gt;=15,"High",IF($F443&gt;=10,"Medium",IF($F443&gt;=5,"Low",IF($F443&gt;0,"Very Low","")))))</f>
        <v/>
      </c>
      <c r="H443" s="5" t="n"/>
    </row>
    <row r="444">
      <c r="B444" s="6" t="n"/>
      <c r="F444">
        <f>D444*E444</f>
        <v/>
      </c>
      <c r="G444">
        <f>IF($F444&gt;=20,"Critical",IF($F444&gt;=15,"High",IF($F444&gt;=10,"Medium",IF($F444&gt;=5,"Low",IF($F444&gt;0,"Very Low","")))))</f>
        <v/>
      </c>
      <c r="H444" s="5" t="n"/>
    </row>
    <row r="445">
      <c r="B445" s="6" t="n"/>
      <c r="F445">
        <f>D445*E445</f>
        <v/>
      </c>
      <c r="G445">
        <f>IF($F445&gt;=20,"Critical",IF($F445&gt;=15,"High",IF($F445&gt;=10,"Medium",IF($F445&gt;=5,"Low",IF($F445&gt;0,"Very Low","")))))</f>
        <v/>
      </c>
      <c r="H445" s="5" t="n"/>
    </row>
    <row r="446">
      <c r="B446" s="6" t="n"/>
      <c r="F446">
        <f>D446*E446</f>
        <v/>
      </c>
      <c r="G446">
        <f>IF($F446&gt;=20,"Critical",IF($F446&gt;=15,"High",IF($F446&gt;=10,"Medium",IF($F446&gt;=5,"Low",IF($F446&gt;0,"Very Low","")))))</f>
        <v/>
      </c>
      <c r="H446" s="5" t="n"/>
    </row>
    <row r="447">
      <c r="B447" s="6" t="n"/>
      <c r="F447">
        <f>D447*E447</f>
        <v/>
      </c>
      <c r="G447">
        <f>IF($F447&gt;=20,"Critical",IF($F447&gt;=15,"High",IF($F447&gt;=10,"Medium",IF($F447&gt;=5,"Low",IF($F447&gt;0,"Very Low","")))))</f>
        <v/>
      </c>
      <c r="H447" s="5" t="n"/>
    </row>
    <row r="448">
      <c r="B448" s="6" t="n"/>
      <c r="F448">
        <f>D448*E448</f>
        <v/>
      </c>
      <c r="G448">
        <f>IF($F448&gt;=20,"Critical",IF($F448&gt;=15,"High",IF($F448&gt;=10,"Medium",IF($F448&gt;=5,"Low",IF($F448&gt;0,"Very Low","")))))</f>
        <v/>
      </c>
      <c r="H448" s="5" t="n"/>
    </row>
    <row r="449">
      <c r="B449" s="6" t="n"/>
      <c r="F449">
        <f>D449*E449</f>
        <v/>
      </c>
      <c r="G449">
        <f>IF($F449&gt;=20,"Critical",IF($F449&gt;=15,"High",IF($F449&gt;=10,"Medium",IF($F449&gt;=5,"Low",IF($F449&gt;0,"Very Low","")))))</f>
        <v/>
      </c>
      <c r="H449" s="5" t="n"/>
    </row>
    <row r="450">
      <c r="B450" s="6" t="n"/>
      <c r="F450">
        <f>D450*E450</f>
        <v/>
      </c>
      <c r="G450">
        <f>IF($F450&gt;=20,"Critical",IF($F450&gt;=15,"High",IF($F450&gt;=10,"Medium",IF($F450&gt;=5,"Low",IF($F450&gt;0,"Very Low","")))))</f>
        <v/>
      </c>
      <c r="H450" s="5" t="n"/>
    </row>
    <row r="451">
      <c r="B451" s="6" t="n"/>
      <c r="F451">
        <f>D451*E451</f>
        <v/>
      </c>
      <c r="G451">
        <f>IF($F451&gt;=20,"Critical",IF($F451&gt;=15,"High",IF($F451&gt;=10,"Medium",IF($F451&gt;=5,"Low",IF($F451&gt;0,"Very Low","")))))</f>
        <v/>
      </c>
      <c r="H451" s="5" t="n"/>
    </row>
    <row r="452">
      <c r="B452" s="6" t="n"/>
      <c r="F452">
        <f>D452*E452</f>
        <v/>
      </c>
      <c r="G452">
        <f>IF($F452&gt;=20,"Critical",IF($F452&gt;=15,"High",IF($F452&gt;=10,"Medium",IF($F452&gt;=5,"Low",IF($F452&gt;0,"Very Low","")))))</f>
        <v/>
      </c>
      <c r="H452" s="5" t="n"/>
    </row>
    <row r="453">
      <c r="B453" s="6" t="n"/>
      <c r="F453">
        <f>D453*E453</f>
        <v/>
      </c>
      <c r="G453">
        <f>IF($F453&gt;=20,"Critical",IF($F453&gt;=15,"High",IF($F453&gt;=10,"Medium",IF($F453&gt;=5,"Low",IF($F453&gt;0,"Very Low","")))))</f>
        <v/>
      </c>
      <c r="H453" s="5" t="n"/>
    </row>
    <row r="454">
      <c r="B454" s="6" t="n"/>
      <c r="F454">
        <f>D454*E454</f>
        <v/>
      </c>
      <c r="G454">
        <f>IF($F454&gt;=20,"Critical",IF($F454&gt;=15,"High",IF($F454&gt;=10,"Medium",IF($F454&gt;=5,"Low",IF($F454&gt;0,"Very Low","")))))</f>
        <v/>
      </c>
      <c r="H454" s="5" t="n"/>
    </row>
    <row r="455">
      <c r="B455" s="6" t="n"/>
      <c r="F455">
        <f>D455*E455</f>
        <v/>
      </c>
      <c r="G455">
        <f>IF($F455&gt;=20,"Critical",IF($F455&gt;=15,"High",IF($F455&gt;=10,"Medium",IF($F455&gt;=5,"Low",IF($F455&gt;0,"Very Low","")))))</f>
        <v/>
      </c>
      <c r="H455" s="5" t="n"/>
    </row>
    <row r="456">
      <c r="B456" s="6" t="n"/>
      <c r="F456">
        <f>D456*E456</f>
        <v/>
      </c>
      <c r="G456">
        <f>IF($F456&gt;=20,"Critical",IF($F456&gt;=15,"High",IF($F456&gt;=10,"Medium",IF($F456&gt;=5,"Low",IF($F456&gt;0,"Very Low","")))))</f>
        <v/>
      </c>
      <c r="H456" s="5" t="n"/>
    </row>
    <row r="457">
      <c r="B457" s="6" t="n"/>
      <c r="F457">
        <f>D457*E457</f>
        <v/>
      </c>
      <c r="G457">
        <f>IF($F457&gt;=20,"Critical",IF($F457&gt;=15,"High",IF($F457&gt;=10,"Medium",IF($F457&gt;=5,"Low",IF($F457&gt;0,"Very Low","")))))</f>
        <v/>
      </c>
      <c r="H457" s="5" t="n"/>
    </row>
    <row r="458">
      <c r="B458" s="6" t="n"/>
      <c r="F458">
        <f>D458*E458</f>
        <v/>
      </c>
      <c r="G458">
        <f>IF($F458&gt;=20,"Critical",IF($F458&gt;=15,"High",IF($F458&gt;=10,"Medium",IF($F458&gt;=5,"Low",IF($F458&gt;0,"Very Low","")))))</f>
        <v/>
      </c>
      <c r="H458" s="5" t="n"/>
    </row>
    <row r="459">
      <c r="B459" s="6" t="n"/>
      <c r="F459">
        <f>D459*E459</f>
        <v/>
      </c>
      <c r="G459">
        <f>IF($F459&gt;=20,"Critical",IF($F459&gt;=15,"High",IF($F459&gt;=10,"Medium",IF($F459&gt;=5,"Low",IF($F459&gt;0,"Very Low","")))))</f>
        <v/>
      </c>
      <c r="H459" s="5" t="n"/>
    </row>
    <row r="460">
      <c r="B460" s="6" t="n"/>
      <c r="F460">
        <f>D460*E460</f>
        <v/>
      </c>
      <c r="G460">
        <f>IF($F460&gt;=20,"Critical",IF($F460&gt;=15,"High",IF($F460&gt;=10,"Medium",IF($F460&gt;=5,"Low",IF($F460&gt;0,"Very Low","")))))</f>
        <v/>
      </c>
      <c r="H460" s="5" t="n"/>
    </row>
    <row r="461">
      <c r="B461" s="6" t="n"/>
      <c r="F461">
        <f>D461*E461</f>
        <v/>
      </c>
      <c r="G461">
        <f>IF($F461&gt;=20,"Critical",IF($F461&gt;=15,"High",IF($F461&gt;=10,"Medium",IF($F461&gt;=5,"Low",IF($F461&gt;0,"Very Low","")))))</f>
        <v/>
      </c>
      <c r="H461" s="5" t="n"/>
    </row>
    <row r="462">
      <c r="B462" s="6" t="n"/>
      <c r="F462">
        <f>D462*E462</f>
        <v/>
      </c>
      <c r="G462">
        <f>IF($F462&gt;=20,"Critical",IF($F462&gt;=15,"High",IF($F462&gt;=10,"Medium",IF($F462&gt;=5,"Low",IF($F462&gt;0,"Very Low","")))))</f>
        <v/>
      </c>
      <c r="H462" s="5" t="n"/>
    </row>
    <row r="463">
      <c r="B463" s="6" t="n"/>
      <c r="F463">
        <f>D463*E463</f>
        <v/>
      </c>
      <c r="G463">
        <f>IF($F463&gt;=20,"Critical",IF($F463&gt;=15,"High",IF($F463&gt;=10,"Medium",IF($F463&gt;=5,"Low",IF($F463&gt;0,"Very Low","")))))</f>
        <v/>
      </c>
      <c r="H463" s="5" t="n"/>
    </row>
    <row r="464">
      <c r="B464" s="6" t="n"/>
      <c r="F464">
        <f>D464*E464</f>
        <v/>
      </c>
      <c r="G464">
        <f>IF($F464&gt;=20,"Critical",IF($F464&gt;=15,"High",IF($F464&gt;=10,"Medium",IF($F464&gt;=5,"Low",IF($F464&gt;0,"Very Low","")))))</f>
        <v/>
      </c>
      <c r="H464" s="5" t="n"/>
    </row>
    <row r="465">
      <c r="B465" s="6" t="n"/>
      <c r="F465">
        <f>D465*E465</f>
        <v/>
      </c>
      <c r="G465">
        <f>IF($F465&gt;=20,"Critical",IF($F465&gt;=15,"High",IF($F465&gt;=10,"Medium",IF($F465&gt;=5,"Low",IF($F465&gt;0,"Very Low","")))))</f>
        <v/>
      </c>
      <c r="H465" s="5" t="n"/>
    </row>
    <row r="466">
      <c r="B466" s="6" t="n"/>
      <c r="F466">
        <f>D466*E466</f>
        <v/>
      </c>
      <c r="G466">
        <f>IF($F466&gt;=20,"Critical",IF($F466&gt;=15,"High",IF($F466&gt;=10,"Medium",IF($F466&gt;=5,"Low",IF($F466&gt;0,"Very Low","")))))</f>
        <v/>
      </c>
      <c r="H466" s="5" t="n"/>
    </row>
    <row r="467">
      <c r="B467" s="6" t="n"/>
      <c r="F467">
        <f>D467*E467</f>
        <v/>
      </c>
      <c r="G467">
        <f>IF($F467&gt;=20,"Critical",IF($F467&gt;=15,"High",IF($F467&gt;=10,"Medium",IF($F467&gt;=5,"Low",IF($F467&gt;0,"Very Low","")))))</f>
        <v/>
      </c>
      <c r="H467" s="5" t="n"/>
    </row>
    <row r="468">
      <c r="B468" s="6" t="n"/>
      <c r="F468">
        <f>D468*E468</f>
        <v/>
      </c>
      <c r="G468">
        <f>IF($F468&gt;=20,"Critical",IF($F468&gt;=15,"High",IF($F468&gt;=10,"Medium",IF($F468&gt;=5,"Low",IF($F468&gt;0,"Very Low","")))))</f>
        <v/>
      </c>
      <c r="H468" s="5" t="n"/>
    </row>
    <row r="469">
      <c r="B469" s="6" t="n"/>
      <c r="F469">
        <f>D469*E469</f>
        <v/>
      </c>
      <c r="G469">
        <f>IF($F469&gt;=20,"Critical",IF($F469&gt;=15,"High",IF($F469&gt;=10,"Medium",IF($F469&gt;=5,"Low",IF($F469&gt;0,"Very Low","")))))</f>
        <v/>
      </c>
      <c r="H469" s="5" t="n"/>
    </row>
    <row r="470">
      <c r="B470" s="6" t="n"/>
      <c r="F470">
        <f>D470*E470</f>
        <v/>
      </c>
      <c r="G470">
        <f>IF($F470&gt;=20,"Critical",IF($F470&gt;=15,"High",IF($F470&gt;=10,"Medium",IF($F470&gt;=5,"Low",IF($F470&gt;0,"Very Low","")))))</f>
        <v/>
      </c>
      <c r="H470" s="5" t="n"/>
    </row>
    <row r="471">
      <c r="B471" s="6" t="n"/>
      <c r="F471">
        <f>D471*E471</f>
        <v/>
      </c>
      <c r="G471">
        <f>IF($F471&gt;=20,"Critical",IF($F471&gt;=15,"High",IF($F471&gt;=10,"Medium",IF($F471&gt;=5,"Low",IF($F471&gt;0,"Very Low","")))))</f>
        <v/>
      </c>
      <c r="H471" s="5" t="n"/>
    </row>
    <row r="472">
      <c r="B472" s="6" t="n"/>
      <c r="F472">
        <f>D472*E472</f>
        <v/>
      </c>
      <c r="G472">
        <f>IF($F472&gt;=20,"Critical",IF($F472&gt;=15,"High",IF($F472&gt;=10,"Medium",IF($F472&gt;=5,"Low",IF($F472&gt;0,"Very Low","")))))</f>
        <v/>
      </c>
      <c r="H472" s="5" t="n"/>
    </row>
    <row r="473">
      <c r="B473" s="6" t="n"/>
      <c r="F473">
        <f>D473*E473</f>
        <v/>
      </c>
      <c r="G473">
        <f>IF($F473&gt;=20,"Critical",IF($F473&gt;=15,"High",IF($F473&gt;=10,"Medium",IF($F473&gt;=5,"Low",IF($F473&gt;0,"Very Low","")))))</f>
        <v/>
      </c>
      <c r="H473" s="5" t="n"/>
    </row>
    <row r="474">
      <c r="B474" s="6" t="n"/>
      <c r="F474">
        <f>D474*E474</f>
        <v/>
      </c>
      <c r="G474">
        <f>IF($F474&gt;=20,"Critical",IF($F474&gt;=15,"High",IF($F474&gt;=10,"Medium",IF($F474&gt;=5,"Low",IF($F474&gt;0,"Very Low","")))))</f>
        <v/>
      </c>
      <c r="H474" s="5" t="n"/>
    </row>
    <row r="475">
      <c r="B475" s="6" t="n"/>
      <c r="F475">
        <f>D475*E475</f>
        <v/>
      </c>
      <c r="G475">
        <f>IF($F475&gt;=20,"Critical",IF($F475&gt;=15,"High",IF($F475&gt;=10,"Medium",IF($F475&gt;=5,"Low",IF($F475&gt;0,"Very Low","")))))</f>
        <v/>
      </c>
      <c r="H475" s="5" t="n"/>
    </row>
    <row r="476">
      <c r="B476" s="6" t="n"/>
      <c r="F476">
        <f>D476*E476</f>
        <v/>
      </c>
      <c r="G476">
        <f>IF($F476&gt;=20,"Critical",IF($F476&gt;=15,"High",IF($F476&gt;=10,"Medium",IF($F476&gt;=5,"Low",IF($F476&gt;0,"Very Low","")))))</f>
        <v/>
      </c>
      <c r="H476" s="5" t="n"/>
    </row>
    <row r="477">
      <c r="B477" s="6" t="n"/>
      <c r="F477">
        <f>D477*E477</f>
        <v/>
      </c>
      <c r="G477">
        <f>IF($F477&gt;=20,"Critical",IF($F477&gt;=15,"High",IF($F477&gt;=10,"Medium",IF($F477&gt;=5,"Low",IF($F477&gt;0,"Very Low","")))))</f>
        <v/>
      </c>
      <c r="H477" s="5" t="n"/>
    </row>
    <row r="478">
      <c r="B478" s="6" t="n"/>
      <c r="F478">
        <f>D478*E478</f>
        <v/>
      </c>
      <c r="G478">
        <f>IF($F478&gt;=20,"Critical",IF($F478&gt;=15,"High",IF($F478&gt;=10,"Medium",IF($F478&gt;=5,"Low",IF($F478&gt;0,"Very Low","")))))</f>
        <v/>
      </c>
      <c r="H478" s="5" t="n"/>
    </row>
    <row r="479">
      <c r="B479" s="6" t="n"/>
      <c r="F479">
        <f>D479*E479</f>
        <v/>
      </c>
      <c r="G479">
        <f>IF($F479&gt;=20,"Critical",IF($F479&gt;=15,"High",IF($F479&gt;=10,"Medium",IF($F479&gt;=5,"Low",IF($F479&gt;0,"Very Low","")))))</f>
        <v/>
      </c>
      <c r="H479" s="5" t="n"/>
    </row>
    <row r="480">
      <c r="B480" s="6" t="n"/>
      <c r="F480">
        <f>D480*E480</f>
        <v/>
      </c>
      <c r="G480">
        <f>IF($F480&gt;=20,"Critical",IF($F480&gt;=15,"High",IF($F480&gt;=10,"Medium",IF($F480&gt;=5,"Low",IF($F480&gt;0,"Very Low","")))))</f>
        <v/>
      </c>
      <c r="H480" s="5" t="n"/>
    </row>
    <row r="481">
      <c r="B481" s="6" t="n"/>
      <c r="F481">
        <f>D481*E481</f>
        <v/>
      </c>
      <c r="G481">
        <f>IF($F481&gt;=20,"Critical",IF($F481&gt;=15,"High",IF($F481&gt;=10,"Medium",IF($F481&gt;=5,"Low",IF($F481&gt;0,"Very Low","")))))</f>
        <v/>
      </c>
      <c r="H481" s="5" t="n"/>
    </row>
    <row r="482">
      <c r="B482" s="6" t="n"/>
      <c r="F482">
        <f>D482*E482</f>
        <v/>
      </c>
      <c r="G482">
        <f>IF($F482&gt;=20,"Critical",IF($F482&gt;=15,"High",IF($F482&gt;=10,"Medium",IF($F482&gt;=5,"Low",IF($F482&gt;0,"Very Low","")))))</f>
        <v/>
      </c>
      <c r="H482" s="5" t="n"/>
    </row>
    <row r="483">
      <c r="B483" s="6" t="n"/>
      <c r="F483">
        <f>D483*E483</f>
        <v/>
      </c>
      <c r="G483">
        <f>IF($F483&gt;=20,"Critical",IF($F483&gt;=15,"High",IF($F483&gt;=10,"Medium",IF($F483&gt;=5,"Low",IF($F483&gt;0,"Very Low","")))))</f>
        <v/>
      </c>
      <c r="H483" s="5" t="n"/>
    </row>
    <row r="484">
      <c r="B484" s="6" t="n"/>
      <c r="F484">
        <f>D484*E484</f>
        <v/>
      </c>
      <c r="G484">
        <f>IF($F484&gt;=20,"Critical",IF($F484&gt;=15,"High",IF($F484&gt;=10,"Medium",IF($F484&gt;=5,"Low",IF($F484&gt;0,"Very Low","")))))</f>
        <v/>
      </c>
      <c r="H484" s="5" t="n"/>
    </row>
    <row r="485">
      <c r="B485" s="6" t="n"/>
      <c r="F485">
        <f>D485*E485</f>
        <v/>
      </c>
      <c r="G485">
        <f>IF($F485&gt;=20,"Critical",IF($F485&gt;=15,"High",IF($F485&gt;=10,"Medium",IF($F485&gt;=5,"Low",IF($F485&gt;0,"Very Low","")))))</f>
        <v/>
      </c>
      <c r="H485" s="5" t="n"/>
    </row>
    <row r="486">
      <c r="B486" s="6" t="n"/>
      <c r="F486">
        <f>D486*E486</f>
        <v/>
      </c>
      <c r="G486">
        <f>IF($F486&gt;=20,"Critical",IF($F486&gt;=15,"High",IF($F486&gt;=10,"Medium",IF($F486&gt;=5,"Low",IF($F486&gt;0,"Very Low","")))))</f>
        <v/>
      </c>
      <c r="H486" s="5" t="n"/>
    </row>
    <row r="487">
      <c r="B487" s="6" t="n"/>
      <c r="F487">
        <f>D487*E487</f>
        <v/>
      </c>
      <c r="G487">
        <f>IF($F487&gt;=20,"Critical",IF($F487&gt;=15,"High",IF($F487&gt;=10,"Medium",IF($F487&gt;=5,"Low",IF($F487&gt;0,"Very Low","")))))</f>
        <v/>
      </c>
      <c r="H487" s="5" t="n"/>
    </row>
    <row r="488">
      <c r="B488" s="6" t="n"/>
      <c r="F488">
        <f>D488*E488</f>
        <v/>
      </c>
      <c r="G488">
        <f>IF($F488&gt;=20,"Critical",IF($F488&gt;=15,"High",IF($F488&gt;=10,"Medium",IF($F488&gt;=5,"Low",IF($F488&gt;0,"Very Low","")))))</f>
        <v/>
      </c>
      <c r="H488" s="5" t="n"/>
    </row>
    <row r="489">
      <c r="B489" s="6" t="n"/>
      <c r="F489">
        <f>D489*E489</f>
        <v/>
      </c>
      <c r="G489">
        <f>IF($F489&gt;=20,"Critical",IF($F489&gt;=15,"High",IF($F489&gt;=10,"Medium",IF($F489&gt;=5,"Low",IF($F489&gt;0,"Very Low","")))))</f>
        <v/>
      </c>
      <c r="H489" s="5" t="n"/>
    </row>
    <row r="490">
      <c r="B490" s="6" t="n"/>
      <c r="F490">
        <f>D490*E490</f>
        <v/>
      </c>
      <c r="G490">
        <f>IF($F490&gt;=20,"Critical",IF($F490&gt;=15,"High",IF($F490&gt;=10,"Medium",IF($F490&gt;=5,"Low",IF($F490&gt;0,"Very Low","")))))</f>
        <v/>
      </c>
      <c r="H490" s="5" t="n"/>
    </row>
    <row r="491">
      <c r="B491" s="6" t="n"/>
      <c r="F491">
        <f>D491*E491</f>
        <v/>
      </c>
      <c r="G491">
        <f>IF($F491&gt;=20,"Critical",IF($F491&gt;=15,"High",IF($F491&gt;=10,"Medium",IF($F491&gt;=5,"Low",IF($F491&gt;0,"Very Low","")))))</f>
        <v/>
      </c>
      <c r="H491" s="5" t="n"/>
    </row>
    <row r="492">
      <c r="B492" s="6" t="n"/>
      <c r="F492">
        <f>D492*E492</f>
        <v/>
      </c>
      <c r="G492">
        <f>IF($F492&gt;=20,"Critical",IF($F492&gt;=15,"High",IF($F492&gt;=10,"Medium",IF($F492&gt;=5,"Low",IF($F492&gt;0,"Very Low","")))))</f>
        <v/>
      </c>
      <c r="H492" s="5" t="n"/>
    </row>
    <row r="493">
      <c r="B493" s="6" t="n"/>
      <c r="F493">
        <f>D493*E493</f>
        <v/>
      </c>
      <c r="G493">
        <f>IF($F493&gt;=20,"Critical",IF($F493&gt;=15,"High",IF($F493&gt;=10,"Medium",IF($F493&gt;=5,"Low",IF($F493&gt;0,"Very Low","")))))</f>
        <v/>
      </c>
      <c r="H493" s="5" t="n"/>
    </row>
    <row r="494">
      <c r="B494" s="6" t="n"/>
      <c r="F494">
        <f>D494*E494</f>
        <v/>
      </c>
      <c r="G494">
        <f>IF($F494&gt;=20,"Critical",IF($F494&gt;=15,"High",IF($F494&gt;=10,"Medium",IF($F494&gt;=5,"Low",IF($F494&gt;0,"Very Low","")))))</f>
        <v/>
      </c>
      <c r="H494" s="5" t="n"/>
    </row>
    <row r="495">
      <c r="B495" s="6" t="n"/>
      <c r="F495">
        <f>D495*E495</f>
        <v/>
      </c>
      <c r="G495">
        <f>IF($F495&gt;=20,"Critical",IF($F495&gt;=15,"High",IF($F495&gt;=10,"Medium",IF($F495&gt;=5,"Low",IF($F495&gt;0,"Very Low","")))))</f>
        <v/>
      </c>
      <c r="H495" s="5" t="n"/>
    </row>
    <row r="496">
      <c r="B496" s="6" t="n"/>
      <c r="F496">
        <f>D496*E496</f>
        <v/>
      </c>
      <c r="G496">
        <f>IF($F496&gt;=20,"Critical",IF($F496&gt;=15,"High",IF($F496&gt;=10,"Medium",IF($F496&gt;=5,"Low",IF($F496&gt;0,"Very Low","")))))</f>
        <v/>
      </c>
      <c r="H496" s="5" t="n"/>
    </row>
    <row r="497">
      <c r="B497" s="6" t="n"/>
      <c r="F497">
        <f>D497*E497</f>
        <v/>
      </c>
      <c r="G497">
        <f>IF($F497&gt;=20,"Critical",IF($F497&gt;=15,"High",IF($F497&gt;=10,"Medium",IF($F497&gt;=5,"Low",IF($F497&gt;0,"Very Low","")))))</f>
        <v/>
      </c>
      <c r="H497" s="5" t="n"/>
    </row>
    <row r="498">
      <c r="B498" s="6" t="n"/>
      <c r="F498">
        <f>D498*E498</f>
        <v/>
      </c>
      <c r="G498">
        <f>IF($F498&gt;=20,"Critical",IF($F498&gt;=15,"High",IF($F498&gt;=10,"Medium",IF($F498&gt;=5,"Low",IF($F498&gt;0,"Very Low","")))))</f>
        <v/>
      </c>
      <c r="H498" s="5" t="n"/>
    </row>
    <row r="499">
      <c r="B499" s="6" t="n"/>
      <c r="F499">
        <f>D499*E499</f>
        <v/>
      </c>
      <c r="G499">
        <f>IF($F499&gt;=20,"Critical",IF($F499&gt;=15,"High",IF($F499&gt;=10,"Medium",IF($F499&gt;=5,"Low",IF($F499&gt;0,"Very Low","")))))</f>
        <v/>
      </c>
      <c r="H499" s="5" t="n"/>
    </row>
    <row r="500">
      <c r="B500" s="6" t="n"/>
      <c r="F500">
        <f>D500*E500</f>
        <v/>
      </c>
      <c r="G500">
        <f>IF($F500&gt;=20,"Critical",IF($F500&gt;=15,"High",IF($F500&gt;=10,"Medium",IF($F500&gt;=5,"Low",IF($F500&gt;0,"Very Low","")))))</f>
        <v/>
      </c>
      <c r="H500" s="5" t="n"/>
    </row>
    <row r="501">
      <c r="B501" s="6" t="n"/>
      <c r="F501">
        <f>D501*E501</f>
        <v/>
      </c>
      <c r="G501">
        <f>IF($F501&gt;=20,"Critical",IF($F501&gt;=15,"High",IF($F501&gt;=10,"Medium",IF($F501&gt;=5,"Low",IF($F501&gt;0,"Very Low","")))))</f>
        <v/>
      </c>
      <c r="H501" s="5" t="n"/>
    </row>
    <row r="502">
      <c r="B502" s="6" t="n"/>
      <c r="F502">
        <f>D502*E502</f>
        <v/>
      </c>
      <c r="G502">
        <f>IF($F502&gt;=20,"Critical",IF($F502&gt;=15,"High",IF($F502&gt;=10,"Medium",IF($F502&gt;=5,"Low",IF($F502&gt;0,"Very Low","")))))</f>
        <v/>
      </c>
      <c r="H502" s="5" t="n"/>
    </row>
    <row r="503">
      <c r="B503" s="6" t="n"/>
      <c r="F503">
        <f>D503*E503</f>
        <v/>
      </c>
      <c r="G503">
        <f>IF($F503&gt;=20,"Critical",IF($F503&gt;=15,"High",IF($F503&gt;=10,"Medium",IF($F503&gt;=5,"Low",IF($F503&gt;0,"Very Low","")))))</f>
        <v/>
      </c>
      <c r="H503" s="5" t="n"/>
    </row>
    <row r="504">
      <c r="B504" s="6" t="n"/>
      <c r="F504">
        <f>D504*E504</f>
        <v/>
      </c>
      <c r="G504">
        <f>IF($F504&gt;=20,"Critical",IF($F504&gt;=15,"High",IF($F504&gt;=10,"Medium",IF($F504&gt;=5,"Low",IF($F504&gt;0,"Very Low","")))))</f>
        <v/>
      </c>
      <c r="H504" s="5" t="n"/>
    </row>
    <row r="505">
      <c r="B505" s="6" t="n"/>
      <c r="F505">
        <f>D505*E505</f>
        <v/>
      </c>
      <c r="G505">
        <f>IF($F505&gt;=20,"Critical",IF($F505&gt;=15,"High",IF($F505&gt;=10,"Medium",IF($F505&gt;=5,"Low",IF($F505&gt;0,"Very Low","")))))</f>
        <v/>
      </c>
      <c r="H505" s="5" t="n"/>
    </row>
    <row r="506">
      <c r="B506" s="6" t="n"/>
      <c r="F506">
        <f>D506*E506</f>
        <v/>
      </c>
      <c r="G506">
        <f>IF($F506&gt;=20,"Critical",IF($F506&gt;=15,"High",IF($F506&gt;=10,"Medium",IF($F506&gt;=5,"Low",IF($F506&gt;0,"Very Low","")))))</f>
        <v/>
      </c>
      <c r="H506" s="5" t="n"/>
    </row>
    <row r="507">
      <c r="B507" s="6" t="n"/>
      <c r="F507">
        <f>D507*E507</f>
        <v/>
      </c>
      <c r="G507">
        <f>IF($F507&gt;=20,"Critical",IF($F507&gt;=15,"High",IF($F507&gt;=10,"Medium",IF($F507&gt;=5,"Low",IF($F507&gt;0,"Very Low","")))))</f>
        <v/>
      </c>
      <c r="H507" s="5" t="n"/>
    </row>
    <row r="508">
      <c r="B508" s="6" t="n"/>
      <c r="F508">
        <f>D508*E508</f>
        <v/>
      </c>
      <c r="G508">
        <f>IF($F508&gt;=20,"Critical",IF($F508&gt;=15,"High",IF($F508&gt;=10,"Medium",IF($F508&gt;=5,"Low",IF($F508&gt;0,"Very Low","")))))</f>
        <v/>
      </c>
      <c r="H508" s="5" t="n"/>
    </row>
    <row r="509">
      <c r="B509" s="6" t="n"/>
      <c r="F509">
        <f>D509*E509</f>
        <v/>
      </c>
      <c r="G509">
        <f>IF($F509&gt;=20,"Critical",IF($F509&gt;=15,"High",IF($F509&gt;=10,"Medium",IF($F509&gt;=5,"Low",IF($F509&gt;0,"Very Low","")))))</f>
        <v/>
      </c>
      <c r="H509" s="5" t="n"/>
    </row>
    <row r="510">
      <c r="B510" s="6" t="n"/>
      <c r="F510">
        <f>D510*E510</f>
        <v/>
      </c>
      <c r="G510">
        <f>IF($F510&gt;=20,"Critical",IF($F510&gt;=15,"High",IF($F510&gt;=10,"Medium",IF($F510&gt;=5,"Low",IF($F510&gt;0,"Very Low","")))))</f>
        <v/>
      </c>
      <c r="H510" s="5" t="n"/>
    </row>
    <row r="511">
      <c r="B511" s="6" t="n"/>
      <c r="F511">
        <f>D511*E511</f>
        <v/>
      </c>
      <c r="G511">
        <f>IF($F511&gt;=20,"Critical",IF($F511&gt;=15,"High",IF($F511&gt;=10,"Medium",IF($F511&gt;=5,"Low",IF($F511&gt;0,"Very Low","")))))</f>
        <v/>
      </c>
      <c r="H511" s="5" t="n"/>
    </row>
    <row r="512">
      <c r="B512" s="6" t="n"/>
      <c r="F512">
        <f>D512*E512</f>
        <v/>
      </c>
      <c r="G512">
        <f>IF($F512&gt;=20,"Critical",IF($F512&gt;=15,"High",IF($F512&gt;=10,"Medium",IF($F512&gt;=5,"Low",IF($F512&gt;0,"Very Low","")))))</f>
        <v/>
      </c>
      <c r="H512" s="5" t="n"/>
    </row>
    <row r="513">
      <c r="B513" s="6" t="n"/>
      <c r="F513">
        <f>D513*E513</f>
        <v/>
      </c>
      <c r="G513">
        <f>IF($F513&gt;=20,"Critical",IF($F513&gt;=15,"High",IF($F513&gt;=10,"Medium",IF($F513&gt;=5,"Low",IF($F513&gt;0,"Very Low","")))))</f>
        <v/>
      </c>
      <c r="H513" s="5" t="n"/>
    </row>
    <row r="514">
      <c r="B514" s="6" t="n"/>
      <c r="F514">
        <f>D514*E514</f>
        <v/>
      </c>
      <c r="G514">
        <f>IF($F514&gt;=20,"Critical",IF($F514&gt;=15,"High",IF($F514&gt;=10,"Medium",IF($F514&gt;=5,"Low",IF($F514&gt;0,"Very Low","")))))</f>
        <v/>
      </c>
      <c r="H514" s="5" t="n"/>
    </row>
    <row r="515">
      <c r="B515" s="6" t="n"/>
      <c r="F515">
        <f>D515*E515</f>
        <v/>
      </c>
      <c r="G515">
        <f>IF($F515&gt;=20,"Critical",IF($F515&gt;=15,"High",IF($F515&gt;=10,"Medium",IF($F515&gt;=5,"Low",IF($F515&gt;0,"Very Low","")))))</f>
        <v/>
      </c>
      <c r="H515" s="5" t="n"/>
    </row>
    <row r="516">
      <c r="B516" s="6" t="n"/>
      <c r="F516">
        <f>D516*E516</f>
        <v/>
      </c>
      <c r="G516">
        <f>IF($F516&gt;=20,"Critical",IF($F516&gt;=15,"High",IF($F516&gt;=10,"Medium",IF($F516&gt;=5,"Low",IF($F516&gt;0,"Very Low","")))))</f>
        <v/>
      </c>
      <c r="H516" s="5" t="n"/>
    </row>
    <row r="517">
      <c r="B517" s="6" t="n"/>
      <c r="F517">
        <f>D517*E517</f>
        <v/>
      </c>
      <c r="G517">
        <f>IF($F517&gt;=20,"Critical",IF($F517&gt;=15,"High",IF($F517&gt;=10,"Medium",IF($F517&gt;=5,"Low",IF($F517&gt;0,"Very Low","")))))</f>
        <v/>
      </c>
      <c r="H517" s="5" t="n"/>
    </row>
    <row r="518">
      <c r="B518" s="6" t="n"/>
      <c r="F518">
        <f>D518*E518</f>
        <v/>
      </c>
      <c r="G518">
        <f>IF($F518&gt;=20,"Critical",IF($F518&gt;=15,"High",IF($F518&gt;=10,"Medium",IF($F518&gt;=5,"Low",IF($F518&gt;0,"Very Low","")))))</f>
        <v/>
      </c>
      <c r="H518" s="5" t="n"/>
    </row>
    <row r="519">
      <c r="B519" s="6" t="n"/>
      <c r="F519">
        <f>D519*E519</f>
        <v/>
      </c>
      <c r="G519">
        <f>IF($F519&gt;=20,"Critical",IF($F519&gt;=15,"High",IF($F519&gt;=10,"Medium",IF($F519&gt;=5,"Low",IF($F519&gt;0,"Very Low","")))))</f>
        <v/>
      </c>
      <c r="H519" s="5" t="n"/>
    </row>
    <row r="520">
      <c r="B520" s="6" t="n"/>
      <c r="F520">
        <f>D520*E520</f>
        <v/>
      </c>
      <c r="G520">
        <f>IF($F520&gt;=20,"Critical",IF($F520&gt;=15,"High",IF($F520&gt;=10,"Medium",IF($F520&gt;=5,"Low",IF($F520&gt;0,"Very Low","")))))</f>
        <v/>
      </c>
      <c r="H520" s="5" t="n"/>
    </row>
    <row r="521">
      <c r="B521" s="6" t="n"/>
      <c r="F521">
        <f>D521*E521</f>
        <v/>
      </c>
      <c r="G521">
        <f>IF($F521&gt;=20,"Critical",IF($F521&gt;=15,"High",IF($F521&gt;=10,"Medium",IF($F521&gt;=5,"Low",IF($F521&gt;0,"Very Low","")))))</f>
        <v/>
      </c>
      <c r="H521" s="5" t="n"/>
    </row>
    <row r="522">
      <c r="B522" s="6" t="n"/>
      <c r="F522">
        <f>D522*E522</f>
        <v/>
      </c>
      <c r="G522">
        <f>IF($F522&gt;=20,"Critical",IF($F522&gt;=15,"High",IF($F522&gt;=10,"Medium",IF($F522&gt;=5,"Low",IF($F522&gt;0,"Very Low","")))))</f>
        <v/>
      </c>
      <c r="H522" s="5" t="n"/>
    </row>
    <row r="523">
      <c r="B523" s="6" t="n"/>
      <c r="F523">
        <f>D523*E523</f>
        <v/>
      </c>
      <c r="G523">
        <f>IF($F523&gt;=20,"Critical",IF($F523&gt;=15,"High",IF($F523&gt;=10,"Medium",IF($F523&gt;=5,"Low",IF($F523&gt;0,"Very Low","")))))</f>
        <v/>
      </c>
      <c r="H523" s="5" t="n"/>
    </row>
    <row r="524">
      <c r="B524" s="6" t="n"/>
      <c r="F524">
        <f>D524*E524</f>
        <v/>
      </c>
      <c r="G524">
        <f>IF($F524&gt;=20,"Critical",IF($F524&gt;=15,"High",IF($F524&gt;=10,"Medium",IF($F524&gt;=5,"Low",IF($F524&gt;0,"Very Low","")))))</f>
        <v/>
      </c>
      <c r="H524" s="5" t="n"/>
    </row>
    <row r="525">
      <c r="B525" s="6" t="n"/>
      <c r="F525">
        <f>D525*E525</f>
        <v/>
      </c>
      <c r="G525">
        <f>IF($F525&gt;=20,"Critical",IF($F525&gt;=15,"High",IF($F525&gt;=10,"Medium",IF($F525&gt;=5,"Low",IF($F525&gt;0,"Very Low","")))))</f>
        <v/>
      </c>
      <c r="H525" s="5" t="n"/>
    </row>
    <row r="526">
      <c r="B526" s="6" t="n"/>
      <c r="F526">
        <f>D526*E526</f>
        <v/>
      </c>
      <c r="G526">
        <f>IF($F526&gt;=20,"Critical",IF($F526&gt;=15,"High",IF($F526&gt;=10,"Medium",IF($F526&gt;=5,"Low",IF($F526&gt;0,"Very Low","")))))</f>
        <v/>
      </c>
      <c r="H526" s="5" t="n"/>
    </row>
    <row r="527">
      <c r="B527" s="6" t="n"/>
      <c r="F527">
        <f>D527*E527</f>
        <v/>
      </c>
      <c r="G527">
        <f>IF($F527&gt;=20,"Critical",IF($F527&gt;=15,"High",IF($F527&gt;=10,"Medium",IF($F527&gt;=5,"Low",IF($F527&gt;0,"Very Low","")))))</f>
        <v/>
      </c>
      <c r="H527" s="5" t="n"/>
    </row>
    <row r="528">
      <c r="B528" s="6" t="n"/>
      <c r="F528">
        <f>D528*E528</f>
        <v/>
      </c>
      <c r="G528">
        <f>IF($F528&gt;=20,"Critical",IF($F528&gt;=15,"High",IF($F528&gt;=10,"Medium",IF($F528&gt;=5,"Low",IF($F528&gt;0,"Very Low","")))))</f>
        <v/>
      </c>
      <c r="H528" s="5" t="n"/>
    </row>
    <row r="529">
      <c r="B529" s="6" t="n"/>
      <c r="F529">
        <f>D529*E529</f>
        <v/>
      </c>
      <c r="G529">
        <f>IF($F529&gt;=20,"Critical",IF($F529&gt;=15,"High",IF($F529&gt;=10,"Medium",IF($F529&gt;=5,"Low",IF($F529&gt;0,"Very Low","")))))</f>
        <v/>
      </c>
      <c r="H529" s="5" t="n"/>
    </row>
    <row r="530">
      <c r="B530" s="6" t="n"/>
      <c r="F530">
        <f>D530*E530</f>
        <v/>
      </c>
      <c r="G530">
        <f>IF($F530&gt;=20,"Critical",IF($F530&gt;=15,"High",IF($F530&gt;=10,"Medium",IF($F530&gt;=5,"Low",IF($F530&gt;0,"Very Low","")))))</f>
        <v/>
      </c>
      <c r="H530" s="5" t="n"/>
    </row>
    <row r="531">
      <c r="B531" s="6" t="n"/>
      <c r="F531">
        <f>D531*E531</f>
        <v/>
      </c>
      <c r="G531">
        <f>IF($F531&gt;=20,"Critical",IF($F531&gt;=15,"High",IF($F531&gt;=10,"Medium",IF($F531&gt;=5,"Low",IF($F531&gt;0,"Very Low","")))))</f>
        <v/>
      </c>
      <c r="H531" s="5" t="n"/>
    </row>
    <row r="532">
      <c r="B532" s="6" t="n"/>
      <c r="F532">
        <f>D532*E532</f>
        <v/>
      </c>
      <c r="G532">
        <f>IF($F532&gt;=20,"Critical",IF($F532&gt;=15,"High",IF($F532&gt;=10,"Medium",IF($F532&gt;=5,"Low",IF($F532&gt;0,"Very Low","")))))</f>
        <v/>
      </c>
      <c r="H532" s="5" t="n"/>
    </row>
    <row r="533">
      <c r="B533" s="6" t="n"/>
      <c r="F533">
        <f>D533*E533</f>
        <v/>
      </c>
      <c r="G533">
        <f>IF($F533&gt;=20,"Critical",IF($F533&gt;=15,"High",IF($F533&gt;=10,"Medium",IF($F533&gt;=5,"Low",IF($F533&gt;0,"Very Low","")))))</f>
        <v/>
      </c>
      <c r="H533" s="5" t="n"/>
    </row>
    <row r="534">
      <c r="B534" s="6" t="n"/>
      <c r="F534">
        <f>D534*E534</f>
        <v/>
      </c>
      <c r="G534">
        <f>IF($F534&gt;=20,"Critical",IF($F534&gt;=15,"High",IF($F534&gt;=10,"Medium",IF($F534&gt;=5,"Low",IF($F534&gt;0,"Very Low","")))))</f>
        <v/>
      </c>
      <c r="H534" s="5" t="n"/>
    </row>
    <row r="535">
      <c r="B535" s="6" t="n"/>
      <c r="F535">
        <f>D535*E535</f>
        <v/>
      </c>
      <c r="G535">
        <f>IF($F535&gt;=20,"Critical",IF($F535&gt;=15,"High",IF($F535&gt;=10,"Medium",IF($F535&gt;=5,"Low",IF($F535&gt;0,"Very Low","")))))</f>
        <v/>
      </c>
      <c r="H535" s="5" t="n"/>
    </row>
    <row r="536">
      <c r="B536" s="6" t="n"/>
      <c r="F536">
        <f>D536*E536</f>
        <v/>
      </c>
      <c r="G536">
        <f>IF($F536&gt;=20,"Critical",IF($F536&gt;=15,"High",IF($F536&gt;=10,"Medium",IF($F536&gt;=5,"Low",IF($F536&gt;0,"Very Low","")))))</f>
        <v/>
      </c>
      <c r="H536" s="5" t="n"/>
    </row>
    <row r="537">
      <c r="B537" s="6" t="n"/>
      <c r="F537">
        <f>D537*E537</f>
        <v/>
      </c>
      <c r="G537">
        <f>IF($F537&gt;=20,"Critical",IF($F537&gt;=15,"High",IF($F537&gt;=10,"Medium",IF($F537&gt;=5,"Low",IF($F537&gt;0,"Very Low","")))))</f>
        <v/>
      </c>
      <c r="H537" s="5" t="n"/>
    </row>
    <row r="538">
      <c r="B538" s="6" t="n"/>
      <c r="F538">
        <f>D538*E538</f>
        <v/>
      </c>
      <c r="G538">
        <f>IF($F538&gt;=20,"Critical",IF($F538&gt;=15,"High",IF($F538&gt;=10,"Medium",IF($F538&gt;=5,"Low",IF($F538&gt;0,"Very Low","")))))</f>
        <v/>
      </c>
      <c r="H538" s="5" t="n"/>
    </row>
    <row r="539">
      <c r="B539" s="6" t="n"/>
      <c r="F539">
        <f>D539*E539</f>
        <v/>
      </c>
      <c r="G539">
        <f>IF($F539&gt;=20,"Critical",IF($F539&gt;=15,"High",IF($F539&gt;=10,"Medium",IF($F539&gt;=5,"Low",IF($F539&gt;0,"Very Low","")))))</f>
        <v/>
      </c>
      <c r="H539" s="5" t="n"/>
    </row>
    <row r="540">
      <c r="B540" s="6" t="n"/>
      <c r="F540">
        <f>D540*E540</f>
        <v/>
      </c>
      <c r="G540">
        <f>IF($F540&gt;=20,"Critical",IF($F540&gt;=15,"High",IF($F540&gt;=10,"Medium",IF($F540&gt;=5,"Low",IF($F540&gt;0,"Very Low","")))))</f>
        <v/>
      </c>
      <c r="H540" s="5" t="n"/>
    </row>
    <row r="541">
      <c r="B541" s="6" t="n"/>
      <c r="F541">
        <f>D541*E541</f>
        <v/>
      </c>
      <c r="G541">
        <f>IF($F541&gt;=20,"Critical",IF($F541&gt;=15,"High",IF($F541&gt;=10,"Medium",IF($F541&gt;=5,"Low",IF($F541&gt;0,"Very Low","")))))</f>
        <v/>
      </c>
      <c r="H541" s="5" t="n"/>
    </row>
    <row r="542">
      <c r="B542" s="6" t="n"/>
      <c r="F542">
        <f>D542*E542</f>
        <v/>
      </c>
      <c r="G542">
        <f>IF($F542&gt;=20,"Critical",IF($F542&gt;=15,"High",IF($F542&gt;=10,"Medium",IF($F542&gt;=5,"Low",IF($F542&gt;0,"Very Low","")))))</f>
        <v/>
      </c>
      <c r="H542" s="5" t="n"/>
    </row>
    <row r="543">
      <c r="B543" s="6" t="n"/>
      <c r="F543">
        <f>D543*E543</f>
        <v/>
      </c>
      <c r="G543">
        <f>IF($F543&gt;=20,"Critical",IF($F543&gt;=15,"High",IF($F543&gt;=10,"Medium",IF($F543&gt;=5,"Low",IF($F543&gt;0,"Very Low","")))))</f>
        <v/>
      </c>
      <c r="H543" s="5" t="n"/>
    </row>
    <row r="544">
      <c r="B544" s="6" t="n"/>
      <c r="F544">
        <f>D544*E544</f>
        <v/>
      </c>
      <c r="G544">
        <f>IF($F544&gt;=20,"Critical",IF($F544&gt;=15,"High",IF($F544&gt;=10,"Medium",IF($F544&gt;=5,"Low",IF($F544&gt;0,"Very Low","")))))</f>
        <v/>
      </c>
      <c r="H544" s="5" t="n"/>
    </row>
    <row r="545">
      <c r="B545" s="6" t="n"/>
      <c r="F545">
        <f>D545*E545</f>
        <v/>
      </c>
      <c r="G545">
        <f>IF($F545&gt;=20,"Critical",IF($F545&gt;=15,"High",IF($F545&gt;=10,"Medium",IF($F545&gt;=5,"Low",IF($F545&gt;0,"Very Low","")))))</f>
        <v/>
      </c>
      <c r="H545" s="5" t="n"/>
    </row>
    <row r="546">
      <c r="B546" s="6" t="n"/>
      <c r="F546">
        <f>D546*E546</f>
        <v/>
      </c>
      <c r="G546">
        <f>IF($F546&gt;=20,"Critical",IF($F546&gt;=15,"High",IF($F546&gt;=10,"Medium",IF($F546&gt;=5,"Low",IF($F546&gt;0,"Very Low","")))))</f>
        <v/>
      </c>
      <c r="H546" s="5" t="n"/>
    </row>
    <row r="547">
      <c r="B547" s="6" t="n"/>
      <c r="F547">
        <f>D547*E547</f>
        <v/>
      </c>
      <c r="G547">
        <f>IF($F547&gt;=20,"Critical",IF($F547&gt;=15,"High",IF($F547&gt;=10,"Medium",IF($F547&gt;=5,"Low",IF($F547&gt;0,"Very Low","")))))</f>
        <v/>
      </c>
      <c r="H547" s="5" t="n"/>
    </row>
    <row r="548">
      <c r="B548" s="6" t="n"/>
      <c r="F548">
        <f>D548*E548</f>
        <v/>
      </c>
      <c r="G548">
        <f>IF($F548&gt;=20,"Critical",IF($F548&gt;=15,"High",IF($F548&gt;=10,"Medium",IF($F548&gt;=5,"Low",IF($F548&gt;0,"Very Low","")))))</f>
        <v/>
      </c>
      <c r="H548" s="5" t="n"/>
    </row>
    <row r="549">
      <c r="B549" s="6" t="n"/>
      <c r="F549">
        <f>D549*E549</f>
        <v/>
      </c>
      <c r="G549">
        <f>IF($F549&gt;=20,"Critical",IF($F549&gt;=15,"High",IF($F549&gt;=10,"Medium",IF($F549&gt;=5,"Low",IF($F549&gt;0,"Very Low","")))))</f>
        <v/>
      </c>
      <c r="H549" s="5" t="n"/>
    </row>
    <row r="550">
      <c r="B550" s="6" t="n"/>
      <c r="F550">
        <f>D550*E550</f>
        <v/>
      </c>
      <c r="G550">
        <f>IF($F550&gt;=20,"Critical",IF($F550&gt;=15,"High",IF($F550&gt;=10,"Medium",IF($F550&gt;=5,"Low",IF($F550&gt;0,"Very Low","")))))</f>
        <v/>
      </c>
      <c r="H550" s="5" t="n"/>
    </row>
    <row r="551">
      <c r="B551" s="6" t="n"/>
      <c r="F551">
        <f>D551*E551</f>
        <v/>
      </c>
      <c r="G551">
        <f>IF($F551&gt;=20,"Critical",IF($F551&gt;=15,"High",IF($F551&gt;=10,"Medium",IF($F551&gt;=5,"Low",IF($F551&gt;0,"Very Low","")))))</f>
        <v/>
      </c>
      <c r="H551" s="5" t="n"/>
    </row>
    <row r="552">
      <c r="B552" s="6" t="n"/>
      <c r="F552">
        <f>D552*E552</f>
        <v/>
      </c>
      <c r="G552">
        <f>IF($F552&gt;=20,"Critical",IF($F552&gt;=15,"High",IF($F552&gt;=10,"Medium",IF($F552&gt;=5,"Low",IF($F552&gt;0,"Very Low","")))))</f>
        <v/>
      </c>
      <c r="H552" s="5" t="n"/>
    </row>
    <row r="553">
      <c r="B553" s="6" t="n"/>
      <c r="F553">
        <f>D553*E553</f>
        <v/>
      </c>
      <c r="G553">
        <f>IF($F553&gt;=20,"Critical",IF($F553&gt;=15,"High",IF($F553&gt;=10,"Medium",IF($F553&gt;=5,"Low",IF($F553&gt;0,"Very Low","")))))</f>
        <v/>
      </c>
      <c r="H553" s="5" t="n"/>
    </row>
    <row r="554">
      <c r="B554" s="6" t="n"/>
      <c r="F554">
        <f>D554*E554</f>
        <v/>
      </c>
      <c r="G554">
        <f>IF($F554&gt;=20,"Critical",IF($F554&gt;=15,"High",IF($F554&gt;=10,"Medium",IF($F554&gt;=5,"Low",IF($F554&gt;0,"Very Low","")))))</f>
        <v/>
      </c>
      <c r="H554" s="5" t="n"/>
    </row>
    <row r="555">
      <c r="B555" s="6" t="n"/>
      <c r="F555">
        <f>D555*E555</f>
        <v/>
      </c>
      <c r="G555">
        <f>IF($F555&gt;=20,"Critical",IF($F555&gt;=15,"High",IF($F555&gt;=10,"Medium",IF($F555&gt;=5,"Low",IF($F555&gt;0,"Very Low","")))))</f>
        <v/>
      </c>
      <c r="H555" s="5" t="n"/>
    </row>
    <row r="556">
      <c r="B556" s="6" t="n"/>
      <c r="F556">
        <f>D556*E556</f>
        <v/>
      </c>
      <c r="G556">
        <f>IF($F556&gt;=20,"Critical",IF($F556&gt;=15,"High",IF($F556&gt;=10,"Medium",IF($F556&gt;=5,"Low",IF($F556&gt;0,"Very Low","")))))</f>
        <v/>
      </c>
      <c r="H556" s="5" t="n"/>
    </row>
    <row r="557">
      <c r="B557" s="6" t="n"/>
      <c r="F557">
        <f>D557*E557</f>
        <v/>
      </c>
      <c r="G557">
        <f>IF($F557&gt;=20,"Critical",IF($F557&gt;=15,"High",IF($F557&gt;=10,"Medium",IF($F557&gt;=5,"Low",IF($F557&gt;0,"Very Low","")))))</f>
        <v/>
      </c>
      <c r="H557" s="5" t="n"/>
    </row>
    <row r="558">
      <c r="B558" s="6" t="n"/>
      <c r="F558">
        <f>D558*E558</f>
        <v/>
      </c>
      <c r="G558">
        <f>IF($F558&gt;=20,"Critical",IF($F558&gt;=15,"High",IF($F558&gt;=10,"Medium",IF($F558&gt;=5,"Low",IF($F558&gt;0,"Very Low","")))))</f>
        <v/>
      </c>
      <c r="H558" s="5" t="n"/>
    </row>
    <row r="559">
      <c r="B559" s="6" t="n"/>
      <c r="F559">
        <f>D559*E559</f>
        <v/>
      </c>
      <c r="G559">
        <f>IF($F559&gt;=20,"Critical",IF($F559&gt;=15,"High",IF($F559&gt;=10,"Medium",IF($F559&gt;=5,"Low",IF($F559&gt;0,"Very Low","")))))</f>
        <v/>
      </c>
      <c r="H559" s="5" t="n"/>
    </row>
    <row r="560">
      <c r="B560" s="6" t="n"/>
      <c r="F560">
        <f>D560*E560</f>
        <v/>
      </c>
      <c r="G560">
        <f>IF($F560&gt;=20,"Critical",IF($F560&gt;=15,"High",IF($F560&gt;=10,"Medium",IF($F560&gt;=5,"Low",IF($F560&gt;0,"Very Low","")))))</f>
        <v/>
      </c>
      <c r="H560" s="5" t="n"/>
    </row>
    <row r="561">
      <c r="B561" s="6" t="n"/>
      <c r="F561">
        <f>D561*E561</f>
        <v/>
      </c>
      <c r="G561">
        <f>IF($F561&gt;=20,"Critical",IF($F561&gt;=15,"High",IF($F561&gt;=10,"Medium",IF($F561&gt;=5,"Low",IF($F561&gt;0,"Very Low","")))))</f>
        <v/>
      </c>
      <c r="H561" s="5" t="n"/>
    </row>
    <row r="562">
      <c r="B562" s="6" t="n"/>
      <c r="F562">
        <f>D562*E562</f>
        <v/>
      </c>
      <c r="G562">
        <f>IF($F562&gt;=20,"Critical",IF($F562&gt;=15,"High",IF($F562&gt;=10,"Medium",IF($F562&gt;=5,"Low",IF($F562&gt;0,"Very Low","")))))</f>
        <v/>
      </c>
      <c r="H562" s="5" t="n"/>
    </row>
    <row r="563">
      <c r="B563" s="6" t="n"/>
      <c r="F563">
        <f>D563*E563</f>
        <v/>
      </c>
      <c r="G563">
        <f>IF($F563&gt;=20,"Critical",IF($F563&gt;=15,"High",IF($F563&gt;=10,"Medium",IF($F563&gt;=5,"Low",IF($F563&gt;0,"Very Low","")))))</f>
        <v/>
      </c>
      <c r="H563" s="5" t="n"/>
    </row>
    <row r="564">
      <c r="B564" s="6" t="n"/>
      <c r="F564">
        <f>D564*E564</f>
        <v/>
      </c>
      <c r="G564">
        <f>IF($F564&gt;=20,"Critical",IF($F564&gt;=15,"High",IF($F564&gt;=10,"Medium",IF($F564&gt;=5,"Low",IF($F564&gt;0,"Very Low","")))))</f>
        <v/>
      </c>
      <c r="H564" s="5" t="n"/>
    </row>
    <row r="565">
      <c r="B565" s="6" t="n"/>
      <c r="F565">
        <f>D565*E565</f>
        <v/>
      </c>
      <c r="G565">
        <f>IF($F565&gt;=20,"Critical",IF($F565&gt;=15,"High",IF($F565&gt;=10,"Medium",IF($F565&gt;=5,"Low",IF($F565&gt;0,"Very Low","")))))</f>
        <v/>
      </c>
      <c r="H565" s="5" t="n"/>
    </row>
    <row r="566">
      <c r="B566" s="6" t="n"/>
      <c r="F566">
        <f>D566*E566</f>
        <v/>
      </c>
      <c r="G566">
        <f>IF($F566&gt;=20,"Critical",IF($F566&gt;=15,"High",IF($F566&gt;=10,"Medium",IF($F566&gt;=5,"Low",IF($F566&gt;0,"Very Low","")))))</f>
        <v/>
      </c>
      <c r="H566" s="5" t="n"/>
    </row>
    <row r="567">
      <c r="B567" s="6" t="n"/>
      <c r="F567">
        <f>D567*E567</f>
        <v/>
      </c>
      <c r="G567">
        <f>IF($F567&gt;=20,"Critical",IF($F567&gt;=15,"High",IF($F567&gt;=10,"Medium",IF($F567&gt;=5,"Low",IF($F567&gt;0,"Very Low","")))))</f>
        <v/>
      </c>
      <c r="H567" s="5" t="n"/>
    </row>
    <row r="568">
      <c r="B568" s="6" t="n"/>
      <c r="F568">
        <f>D568*E568</f>
        <v/>
      </c>
      <c r="G568">
        <f>IF($F568&gt;=20,"Critical",IF($F568&gt;=15,"High",IF($F568&gt;=10,"Medium",IF($F568&gt;=5,"Low",IF($F568&gt;0,"Very Low","")))))</f>
        <v/>
      </c>
      <c r="H568" s="5" t="n"/>
    </row>
    <row r="569">
      <c r="B569" s="6" t="n"/>
      <c r="F569">
        <f>D569*E569</f>
        <v/>
      </c>
      <c r="G569">
        <f>IF($F569&gt;=20,"Critical",IF($F569&gt;=15,"High",IF($F569&gt;=10,"Medium",IF($F569&gt;=5,"Low",IF($F569&gt;0,"Very Low","")))))</f>
        <v/>
      </c>
      <c r="H569" s="5" t="n"/>
    </row>
    <row r="570">
      <c r="B570" s="6" t="n"/>
      <c r="F570">
        <f>D570*E570</f>
        <v/>
      </c>
      <c r="G570">
        <f>IF($F570&gt;=20,"Critical",IF($F570&gt;=15,"High",IF($F570&gt;=10,"Medium",IF($F570&gt;=5,"Low",IF($F570&gt;0,"Very Low","")))))</f>
        <v/>
      </c>
      <c r="H570" s="5" t="n"/>
    </row>
    <row r="571">
      <c r="B571" s="6" t="n"/>
      <c r="F571">
        <f>D571*E571</f>
        <v/>
      </c>
      <c r="G571">
        <f>IF($F571&gt;=20,"Critical",IF($F571&gt;=15,"High",IF($F571&gt;=10,"Medium",IF($F571&gt;=5,"Low",IF($F571&gt;0,"Very Low","")))))</f>
        <v/>
      </c>
      <c r="H571" s="5" t="n"/>
    </row>
    <row r="572">
      <c r="B572" s="6" t="n"/>
      <c r="F572">
        <f>D572*E572</f>
        <v/>
      </c>
      <c r="G572">
        <f>IF($F572&gt;=20,"Critical",IF($F572&gt;=15,"High",IF($F572&gt;=10,"Medium",IF($F572&gt;=5,"Low",IF($F572&gt;0,"Very Low","")))))</f>
        <v/>
      </c>
      <c r="H572" s="5" t="n"/>
    </row>
    <row r="573">
      <c r="B573" s="6" t="n"/>
      <c r="F573">
        <f>D573*E573</f>
        <v/>
      </c>
      <c r="G573">
        <f>IF($F573&gt;=20,"Critical",IF($F573&gt;=15,"High",IF($F573&gt;=10,"Medium",IF($F573&gt;=5,"Low",IF($F573&gt;0,"Very Low","")))))</f>
        <v/>
      </c>
      <c r="H573" s="5" t="n"/>
    </row>
    <row r="574">
      <c r="B574" s="6" t="n"/>
      <c r="F574">
        <f>D574*E574</f>
        <v/>
      </c>
      <c r="G574">
        <f>IF($F574&gt;=20,"Critical",IF($F574&gt;=15,"High",IF($F574&gt;=10,"Medium",IF($F574&gt;=5,"Low",IF($F574&gt;0,"Very Low","")))))</f>
        <v/>
      </c>
      <c r="H574" s="5" t="n"/>
    </row>
    <row r="575">
      <c r="B575" s="6" t="n"/>
      <c r="F575">
        <f>D575*E575</f>
        <v/>
      </c>
      <c r="G575">
        <f>IF($F575&gt;=20,"Critical",IF($F575&gt;=15,"High",IF($F575&gt;=10,"Medium",IF($F575&gt;=5,"Low",IF($F575&gt;0,"Very Low","")))))</f>
        <v/>
      </c>
      <c r="H575" s="5" t="n"/>
    </row>
    <row r="576">
      <c r="B576" s="6" t="n"/>
      <c r="F576">
        <f>D576*E576</f>
        <v/>
      </c>
      <c r="G576">
        <f>IF($F576&gt;=20,"Critical",IF($F576&gt;=15,"High",IF($F576&gt;=10,"Medium",IF($F576&gt;=5,"Low",IF($F576&gt;0,"Very Low","")))))</f>
        <v/>
      </c>
      <c r="H576" s="5" t="n"/>
    </row>
    <row r="577">
      <c r="B577" s="6" t="n"/>
      <c r="F577">
        <f>D577*E577</f>
        <v/>
      </c>
      <c r="G577">
        <f>IF($F577&gt;=20,"Critical",IF($F577&gt;=15,"High",IF($F577&gt;=10,"Medium",IF($F577&gt;=5,"Low",IF($F577&gt;0,"Very Low","")))))</f>
        <v/>
      </c>
      <c r="H577" s="5" t="n"/>
    </row>
    <row r="578">
      <c r="B578" s="6" t="n"/>
      <c r="F578">
        <f>D578*E578</f>
        <v/>
      </c>
      <c r="G578">
        <f>IF($F578&gt;=20,"Critical",IF($F578&gt;=15,"High",IF($F578&gt;=10,"Medium",IF($F578&gt;=5,"Low",IF($F578&gt;0,"Very Low","")))))</f>
        <v/>
      </c>
      <c r="H578" s="5" t="n"/>
    </row>
    <row r="579">
      <c r="B579" s="6" t="n"/>
      <c r="F579">
        <f>D579*E579</f>
        <v/>
      </c>
      <c r="G579">
        <f>IF($F579&gt;=20,"Critical",IF($F579&gt;=15,"High",IF($F579&gt;=10,"Medium",IF($F579&gt;=5,"Low",IF($F579&gt;0,"Very Low","")))))</f>
        <v/>
      </c>
      <c r="H579" s="5" t="n"/>
    </row>
    <row r="580">
      <c r="B580" s="6" t="n"/>
      <c r="F580">
        <f>D580*E580</f>
        <v/>
      </c>
      <c r="G580">
        <f>IF($F580&gt;=20,"Critical",IF($F580&gt;=15,"High",IF($F580&gt;=10,"Medium",IF($F580&gt;=5,"Low",IF($F580&gt;0,"Very Low","")))))</f>
        <v/>
      </c>
      <c r="H580" s="5" t="n"/>
    </row>
    <row r="581">
      <c r="B581" s="6" t="n"/>
      <c r="F581">
        <f>D581*E581</f>
        <v/>
      </c>
      <c r="G581">
        <f>IF($F581&gt;=20,"Critical",IF($F581&gt;=15,"High",IF($F581&gt;=10,"Medium",IF($F581&gt;=5,"Low",IF($F581&gt;0,"Very Low","")))))</f>
        <v/>
      </c>
      <c r="H581" s="5" t="n"/>
    </row>
    <row r="582">
      <c r="B582" s="6" t="n"/>
      <c r="F582">
        <f>D582*E582</f>
        <v/>
      </c>
      <c r="G582">
        <f>IF($F582&gt;=20,"Critical",IF($F582&gt;=15,"High",IF($F582&gt;=10,"Medium",IF($F582&gt;=5,"Low",IF($F582&gt;0,"Very Low","")))))</f>
        <v/>
      </c>
      <c r="H582" s="5" t="n"/>
    </row>
    <row r="583">
      <c r="B583" s="6" t="n"/>
      <c r="F583">
        <f>D583*E583</f>
        <v/>
      </c>
      <c r="G583">
        <f>IF($F583&gt;=20,"Critical",IF($F583&gt;=15,"High",IF($F583&gt;=10,"Medium",IF($F583&gt;=5,"Low",IF($F583&gt;0,"Very Low","")))))</f>
        <v/>
      </c>
      <c r="H583" s="5" t="n"/>
    </row>
    <row r="584">
      <c r="B584" s="6" t="n"/>
      <c r="F584">
        <f>D584*E584</f>
        <v/>
      </c>
      <c r="G584">
        <f>IF($F584&gt;=20,"Critical",IF($F584&gt;=15,"High",IF($F584&gt;=10,"Medium",IF($F584&gt;=5,"Low",IF($F584&gt;0,"Very Low","")))))</f>
        <v/>
      </c>
      <c r="H584" s="5" t="n"/>
    </row>
    <row r="585">
      <c r="B585" s="6" t="n"/>
      <c r="F585">
        <f>D585*E585</f>
        <v/>
      </c>
      <c r="G585">
        <f>IF($F585&gt;=20,"Critical",IF($F585&gt;=15,"High",IF($F585&gt;=10,"Medium",IF($F585&gt;=5,"Low",IF($F585&gt;0,"Very Low","")))))</f>
        <v/>
      </c>
      <c r="H585" s="5" t="n"/>
    </row>
    <row r="586">
      <c r="B586" s="6" t="n"/>
      <c r="F586">
        <f>D586*E586</f>
        <v/>
      </c>
      <c r="G586">
        <f>IF($F586&gt;=20,"Critical",IF($F586&gt;=15,"High",IF($F586&gt;=10,"Medium",IF($F586&gt;=5,"Low",IF($F586&gt;0,"Very Low","")))))</f>
        <v/>
      </c>
      <c r="H586" s="5" t="n"/>
    </row>
    <row r="587">
      <c r="B587" s="6" t="n"/>
      <c r="F587">
        <f>D587*E587</f>
        <v/>
      </c>
      <c r="G587">
        <f>IF($F587&gt;=20,"Critical",IF($F587&gt;=15,"High",IF($F587&gt;=10,"Medium",IF($F587&gt;=5,"Low",IF($F587&gt;0,"Very Low","")))))</f>
        <v/>
      </c>
      <c r="H587" s="5" t="n"/>
    </row>
    <row r="588">
      <c r="B588" s="6" t="n"/>
      <c r="F588">
        <f>D588*E588</f>
        <v/>
      </c>
      <c r="G588">
        <f>IF($F588&gt;=20,"Critical",IF($F588&gt;=15,"High",IF($F588&gt;=10,"Medium",IF($F588&gt;=5,"Low",IF($F588&gt;0,"Very Low","")))))</f>
        <v/>
      </c>
      <c r="H588" s="5" t="n"/>
    </row>
    <row r="589">
      <c r="B589" s="6" t="n"/>
      <c r="F589">
        <f>D589*E589</f>
        <v/>
      </c>
      <c r="G589">
        <f>IF($F589&gt;=20,"Critical",IF($F589&gt;=15,"High",IF($F589&gt;=10,"Medium",IF($F589&gt;=5,"Low",IF($F589&gt;0,"Very Low","")))))</f>
        <v/>
      </c>
      <c r="H589" s="5" t="n"/>
    </row>
    <row r="590">
      <c r="B590" s="6" t="n"/>
      <c r="F590">
        <f>D590*E590</f>
        <v/>
      </c>
      <c r="G590">
        <f>IF($F590&gt;=20,"Critical",IF($F590&gt;=15,"High",IF($F590&gt;=10,"Medium",IF($F590&gt;=5,"Low",IF($F590&gt;0,"Very Low","")))))</f>
        <v/>
      </c>
      <c r="H590" s="5" t="n"/>
    </row>
    <row r="591">
      <c r="B591" s="6" t="n"/>
      <c r="F591">
        <f>D591*E591</f>
        <v/>
      </c>
      <c r="G591">
        <f>IF($F591&gt;=20,"Critical",IF($F591&gt;=15,"High",IF($F591&gt;=10,"Medium",IF($F591&gt;=5,"Low",IF($F591&gt;0,"Very Low","")))))</f>
        <v/>
      </c>
      <c r="H591" s="5" t="n"/>
    </row>
    <row r="592">
      <c r="B592" s="6" t="n"/>
      <c r="F592">
        <f>D592*E592</f>
        <v/>
      </c>
      <c r="G592">
        <f>IF($F592&gt;=20,"Critical",IF($F592&gt;=15,"High",IF($F592&gt;=10,"Medium",IF($F592&gt;=5,"Low",IF($F592&gt;0,"Very Low","")))))</f>
        <v/>
      </c>
      <c r="H592" s="5" t="n"/>
    </row>
    <row r="593">
      <c r="B593" s="6" t="n"/>
      <c r="F593">
        <f>D593*E593</f>
        <v/>
      </c>
      <c r="G593">
        <f>IF($F593&gt;=20,"Critical",IF($F593&gt;=15,"High",IF($F593&gt;=10,"Medium",IF($F593&gt;=5,"Low",IF($F593&gt;0,"Very Low","")))))</f>
        <v/>
      </c>
      <c r="H593" s="5" t="n"/>
    </row>
    <row r="594">
      <c r="B594" s="6" t="n"/>
      <c r="F594">
        <f>D594*E594</f>
        <v/>
      </c>
      <c r="G594">
        <f>IF($F594&gt;=20,"Critical",IF($F594&gt;=15,"High",IF($F594&gt;=10,"Medium",IF($F594&gt;=5,"Low",IF($F594&gt;0,"Very Low","")))))</f>
        <v/>
      </c>
      <c r="H594" s="5" t="n"/>
    </row>
    <row r="595">
      <c r="B595" s="6" t="n"/>
      <c r="F595">
        <f>D595*E595</f>
        <v/>
      </c>
      <c r="G595">
        <f>IF($F595&gt;=20,"Critical",IF($F595&gt;=15,"High",IF($F595&gt;=10,"Medium",IF($F595&gt;=5,"Low",IF($F595&gt;0,"Very Low","")))))</f>
        <v/>
      </c>
      <c r="H595" s="5" t="n"/>
    </row>
    <row r="596">
      <c r="B596" s="6" t="n"/>
      <c r="F596">
        <f>D596*E596</f>
        <v/>
      </c>
      <c r="G596">
        <f>IF($F596&gt;=20,"Critical",IF($F596&gt;=15,"High",IF($F596&gt;=10,"Medium",IF($F596&gt;=5,"Low",IF($F596&gt;0,"Very Low","")))))</f>
        <v/>
      </c>
      <c r="H596" s="5" t="n"/>
    </row>
    <row r="597">
      <c r="B597" s="6" t="n"/>
      <c r="F597">
        <f>D597*E597</f>
        <v/>
      </c>
      <c r="G597">
        <f>IF($F597&gt;=20,"Critical",IF($F597&gt;=15,"High",IF($F597&gt;=10,"Medium",IF($F597&gt;=5,"Low",IF($F597&gt;0,"Very Low","")))))</f>
        <v/>
      </c>
      <c r="H597" s="5" t="n"/>
    </row>
    <row r="598">
      <c r="B598" s="6" t="n"/>
      <c r="F598">
        <f>D598*E598</f>
        <v/>
      </c>
      <c r="G598">
        <f>IF($F598&gt;=20,"Critical",IF($F598&gt;=15,"High",IF($F598&gt;=10,"Medium",IF($F598&gt;=5,"Low",IF($F598&gt;0,"Very Low","")))))</f>
        <v/>
      </c>
      <c r="H598" s="5" t="n"/>
    </row>
    <row r="599">
      <c r="B599" s="6" t="n"/>
      <c r="F599">
        <f>D599*E599</f>
        <v/>
      </c>
      <c r="G599">
        <f>IF($F599&gt;=20,"Critical",IF($F599&gt;=15,"High",IF($F599&gt;=10,"Medium",IF($F599&gt;=5,"Low",IF($F599&gt;0,"Very Low","")))))</f>
        <v/>
      </c>
      <c r="H599" s="5" t="n"/>
    </row>
    <row r="600">
      <c r="B600" s="6" t="n"/>
      <c r="F600">
        <f>D600*E600</f>
        <v/>
      </c>
      <c r="G600">
        <f>IF($F600&gt;=20,"Critical",IF($F600&gt;=15,"High",IF($F600&gt;=10,"Medium",IF($F600&gt;=5,"Low",IF($F600&gt;0,"Very Low","")))))</f>
        <v/>
      </c>
      <c r="H600" s="5" t="n"/>
    </row>
    <row r="601">
      <c r="B601" s="6" t="n"/>
      <c r="F601">
        <f>D601*E601</f>
        <v/>
      </c>
      <c r="G601">
        <f>IF($F601&gt;=20,"Critical",IF($F601&gt;=15,"High",IF($F601&gt;=10,"Medium",IF($F601&gt;=5,"Low",IF($F601&gt;0,"Very Low","")))))</f>
        <v/>
      </c>
      <c r="H601" s="5" t="n"/>
    </row>
    <row r="602">
      <c r="B602" s="6" t="n"/>
      <c r="F602">
        <f>D602*E602</f>
        <v/>
      </c>
      <c r="G602">
        <f>IF($F602&gt;=20,"Critical",IF($F602&gt;=15,"High",IF($F602&gt;=10,"Medium",IF($F602&gt;=5,"Low",IF($F602&gt;0,"Very Low","")))))</f>
        <v/>
      </c>
      <c r="H602" s="5" t="n"/>
    </row>
    <row r="603">
      <c r="B603" s="6" t="n"/>
      <c r="F603">
        <f>D603*E603</f>
        <v/>
      </c>
      <c r="G603">
        <f>IF($F603&gt;=20,"Critical",IF($F603&gt;=15,"High",IF($F603&gt;=10,"Medium",IF($F603&gt;=5,"Low",IF($F603&gt;0,"Very Low","")))))</f>
        <v/>
      </c>
      <c r="H603" s="5" t="n"/>
    </row>
    <row r="604">
      <c r="B604" s="6" t="n"/>
      <c r="F604">
        <f>D604*E604</f>
        <v/>
      </c>
      <c r="G604">
        <f>IF($F604&gt;=20,"Critical",IF($F604&gt;=15,"High",IF($F604&gt;=10,"Medium",IF($F604&gt;=5,"Low",IF($F604&gt;0,"Very Low","")))))</f>
        <v/>
      </c>
      <c r="H604" s="5" t="n"/>
    </row>
    <row r="605">
      <c r="B605" s="6" t="n"/>
      <c r="F605">
        <f>D605*E605</f>
        <v/>
      </c>
      <c r="G605">
        <f>IF($F605&gt;=20,"Critical",IF($F605&gt;=15,"High",IF($F605&gt;=10,"Medium",IF($F605&gt;=5,"Low",IF($F605&gt;0,"Very Low","")))))</f>
        <v/>
      </c>
      <c r="H605" s="5" t="n"/>
    </row>
    <row r="606">
      <c r="B606" s="6" t="n"/>
      <c r="F606">
        <f>D606*E606</f>
        <v/>
      </c>
      <c r="G606">
        <f>IF($F606&gt;=20,"Critical",IF($F606&gt;=15,"High",IF($F606&gt;=10,"Medium",IF($F606&gt;=5,"Low",IF($F606&gt;0,"Very Low","")))))</f>
        <v/>
      </c>
      <c r="H606" s="5" t="n"/>
    </row>
    <row r="607">
      <c r="B607" s="6" t="n"/>
      <c r="F607">
        <f>D607*E607</f>
        <v/>
      </c>
      <c r="G607">
        <f>IF($F607&gt;=20,"Critical",IF($F607&gt;=15,"High",IF($F607&gt;=10,"Medium",IF($F607&gt;=5,"Low",IF($F607&gt;0,"Very Low","")))))</f>
        <v/>
      </c>
      <c r="H607" s="5" t="n"/>
    </row>
    <row r="608">
      <c r="B608" s="6" t="n"/>
      <c r="F608">
        <f>D608*E608</f>
        <v/>
      </c>
      <c r="G608">
        <f>IF($F608&gt;=20,"Critical",IF($F608&gt;=15,"High",IF($F608&gt;=10,"Medium",IF($F608&gt;=5,"Low",IF($F608&gt;0,"Very Low","")))))</f>
        <v/>
      </c>
      <c r="H608" s="5" t="n"/>
    </row>
    <row r="609">
      <c r="B609" s="6" t="n"/>
      <c r="F609">
        <f>D609*E609</f>
        <v/>
      </c>
      <c r="G609">
        <f>IF($F609&gt;=20,"Critical",IF($F609&gt;=15,"High",IF($F609&gt;=10,"Medium",IF($F609&gt;=5,"Low",IF($F609&gt;0,"Very Low","")))))</f>
        <v/>
      </c>
      <c r="H609" s="5" t="n"/>
    </row>
    <row r="610">
      <c r="B610" s="6" t="n"/>
      <c r="F610">
        <f>D610*E610</f>
        <v/>
      </c>
      <c r="G610">
        <f>IF($F610&gt;=20,"Critical",IF($F610&gt;=15,"High",IF($F610&gt;=10,"Medium",IF($F610&gt;=5,"Low",IF($F610&gt;0,"Very Low","")))))</f>
        <v/>
      </c>
      <c r="H610" s="5" t="n"/>
    </row>
    <row r="611">
      <c r="B611" s="6" t="n"/>
      <c r="F611">
        <f>D611*E611</f>
        <v/>
      </c>
      <c r="G611">
        <f>IF($F611&gt;=20,"Critical",IF($F611&gt;=15,"High",IF($F611&gt;=10,"Medium",IF($F611&gt;=5,"Low",IF($F611&gt;0,"Very Low","")))))</f>
        <v/>
      </c>
      <c r="H611" s="5" t="n"/>
    </row>
    <row r="612">
      <c r="B612" s="6" t="n"/>
      <c r="F612">
        <f>D612*E612</f>
        <v/>
      </c>
      <c r="G612">
        <f>IF($F612&gt;=20,"Critical",IF($F612&gt;=15,"High",IF($F612&gt;=10,"Medium",IF($F612&gt;=5,"Low",IF($F612&gt;0,"Very Low","")))))</f>
        <v/>
      </c>
      <c r="H612" s="5" t="n"/>
    </row>
    <row r="613">
      <c r="B613" s="6" t="n"/>
      <c r="F613">
        <f>D613*E613</f>
        <v/>
      </c>
      <c r="G613">
        <f>IF($F613&gt;=20,"Critical",IF($F613&gt;=15,"High",IF($F613&gt;=10,"Medium",IF($F613&gt;=5,"Low",IF($F613&gt;0,"Very Low","")))))</f>
        <v/>
      </c>
      <c r="H613" s="5" t="n"/>
    </row>
    <row r="614">
      <c r="B614" s="6" t="n"/>
      <c r="F614">
        <f>D614*E614</f>
        <v/>
      </c>
      <c r="G614">
        <f>IF($F614&gt;=20,"Critical",IF($F614&gt;=15,"High",IF($F614&gt;=10,"Medium",IF($F614&gt;=5,"Low",IF($F614&gt;0,"Very Low","")))))</f>
        <v/>
      </c>
      <c r="H614" s="5" t="n"/>
    </row>
    <row r="615">
      <c r="B615" s="6" t="n"/>
      <c r="F615">
        <f>D615*E615</f>
        <v/>
      </c>
      <c r="G615">
        <f>IF($F615&gt;=20,"Critical",IF($F615&gt;=15,"High",IF($F615&gt;=10,"Medium",IF($F615&gt;=5,"Low",IF($F615&gt;0,"Very Low","")))))</f>
        <v/>
      </c>
      <c r="H615" s="5" t="n"/>
    </row>
    <row r="616">
      <c r="B616" s="6" t="n"/>
      <c r="F616">
        <f>D616*E616</f>
        <v/>
      </c>
      <c r="G616">
        <f>IF($F616&gt;=20,"Critical",IF($F616&gt;=15,"High",IF($F616&gt;=10,"Medium",IF($F616&gt;=5,"Low",IF($F616&gt;0,"Very Low","")))))</f>
        <v/>
      </c>
      <c r="H616" s="5" t="n"/>
    </row>
    <row r="617">
      <c r="B617" s="6" t="n"/>
      <c r="F617">
        <f>D617*E617</f>
        <v/>
      </c>
      <c r="G617">
        <f>IF($F617&gt;=20,"Critical",IF($F617&gt;=15,"High",IF($F617&gt;=10,"Medium",IF($F617&gt;=5,"Low",IF($F617&gt;0,"Very Low","")))))</f>
        <v/>
      </c>
      <c r="H617" s="5" t="n"/>
    </row>
    <row r="618">
      <c r="B618" s="6" t="n"/>
      <c r="F618">
        <f>D618*E618</f>
        <v/>
      </c>
      <c r="G618">
        <f>IF($F618&gt;=20,"Critical",IF($F618&gt;=15,"High",IF($F618&gt;=10,"Medium",IF($F618&gt;=5,"Low",IF($F618&gt;0,"Very Low","")))))</f>
        <v/>
      </c>
      <c r="H618" s="5" t="n"/>
    </row>
    <row r="619">
      <c r="B619" s="6" t="n"/>
      <c r="F619">
        <f>D619*E619</f>
        <v/>
      </c>
      <c r="G619">
        <f>IF($F619&gt;=20,"Critical",IF($F619&gt;=15,"High",IF($F619&gt;=10,"Medium",IF($F619&gt;=5,"Low",IF($F619&gt;0,"Very Low","")))))</f>
        <v/>
      </c>
      <c r="H619" s="5" t="n"/>
    </row>
    <row r="620">
      <c r="B620" s="6" t="n"/>
      <c r="F620">
        <f>D620*E620</f>
        <v/>
      </c>
      <c r="G620">
        <f>IF($F620&gt;=20,"Critical",IF($F620&gt;=15,"High",IF($F620&gt;=10,"Medium",IF($F620&gt;=5,"Low",IF($F620&gt;0,"Very Low","")))))</f>
        <v/>
      </c>
      <c r="H620" s="5" t="n"/>
    </row>
    <row r="621">
      <c r="B621" s="6" t="n"/>
      <c r="F621">
        <f>D621*E621</f>
        <v/>
      </c>
      <c r="G621">
        <f>IF($F621&gt;=20,"Critical",IF($F621&gt;=15,"High",IF($F621&gt;=10,"Medium",IF($F621&gt;=5,"Low",IF($F621&gt;0,"Very Low","")))))</f>
        <v/>
      </c>
      <c r="H621" s="5" t="n"/>
    </row>
    <row r="622">
      <c r="B622" s="6" t="n"/>
      <c r="F622">
        <f>D622*E622</f>
        <v/>
      </c>
      <c r="G622">
        <f>IF($F622&gt;=20,"Critical",IF($F622&gt;=15,"High",IF($F622&gt;=10,"Medium",IF($F622&gt;=5,"Low",IF($F622&gt;0,"Very Low","")))))</f>
        <v/>
      </c>
      <c r="H622" s="5" t="n"/>
    </row>
    <row r="623">
      <c r="B623" s="6" t="n"/>
      <c r="F623">
        <f>D623*E623</f>
        <v/>
      </c>
      <c r="G623">
        <f>IF($F623&gt;=20,"Critical",IF($F623&gt;=15,"High",IF($F623&gt;=10,"Medium",IF($F623&gt;=5,"Low",IF($F623&gt;0,"Very Low","")))))</f>
        <v/>
      </c>
      <c r="H623" s="5" t="n"/>
    </row>
    <row r="624">
      <c r="B624" s="6" t="n"/>
      <c r="F624">
        <f>D624*E624</f>
        <v/>
      </c>
      <c r="G624">
        <f>IF($F624&gt;=20,"Critical",IF($F624&gt;=15,"High",IF($F624&gt;=10,"Medium",IF($F624&gt;=5,"Low",IF($F624&gt;0,"Very Low","")))))</f>
        <v/>
      </c>
      <c r="H624" s="5" t="n"/>
    </row>
    <row r="625">
      <c r="B625" s="6" t="n"/>
      <c r="F625">
        <f>D625*E625</f>
        <v/>
      </c>
      <c r="G625">
        <f>IF($F625&gt;=20,"Critical",IF($F625&gt;=15,"High",IF($F625&gt;=10,"Medium",IF($F625&gt;=5,"Low",IF($F625&gt;0,"Very Low","")))))</f>
        <v/>
      </c>
      <c r="H625" s="5" t="n"/>
    </row>
    <row r="626">
      <c r="B626" s="6" t="n"/>
      <c r="F626">
        <f>D626*E626</f>
        <v/>
      </c>
      <c r="G626">
        <f>IF($F626&gt;=20,"Critical",IF($F626&gt;=15,"High",IF($F626&gt;=10,"Medium",IF($F626&gt;=5,"Low",IF($F626&gt;0,"Very Low","")))))</f>
        <v/>
      </c>
      <c r="H626" s="5" t="n"/>
    </row>
    <row r="627">
      <c r="B627" s="6" t="n"/>
      <c r="F627">
        <f>D627*E627</f>
        <v/>
      </c>
      <c r="G627">
        <f>IF($F627&gt;=20,"Critical",IF($F627&gt;=15,"High",IF($F627&gt;=10,"Medium",IF($F627&gt;=5,"Low",IF($F627&gt;0,"Very Low","")))))</f>
        <v/>
      </c>
      <c r="H627" s="5" t="n"/>
    </row>
    <row r="628">
      <c r="B628" s="6" t="n"/>
      <c r="F628">
        <f>D628*E628</f>
        <v/>
      </c>
      <c r="G628">
        <f>IF($F628&gt;=20,"Critical",IF($F628&gt;=15,"High",IF($F628&gt;=10,"Medium",IF($F628&gt;=5,"Low",IF($F628&gt;0,"Very Low","")))))</f>
        <v/>
      </c>
      <c r="H628" s="5" t="n"/>
    </row>
    <row r="629">
      <c r="B629" s="6" t="n"/>
      <c r="F629">
        <f>D629*E629</f>
        <v/>
      </c>
      <c r="G629">
        <f>IF($F629&gt;=20,"Critical",IF($F629&gt;=15,"High",IF($F629&gt;=10,"Medium",IF($F629&gt;=5,"Low",IF($F629&gt;0,"Very Low","")))))</f>
        <v/>
      </c>
      <c r="H629" s="5" t="n"/>
    </row>
    <row r="630">
      <c r="B630" s="6" t="n"/>
      <c r="F630">
        <f>D630*E630</f>
        <v/>
      </c>
      <c r="G630">
        <f>IF($F630&gt;=20,"Critical",IF($F630&gt;=15,"High",IF($F630&gt;=10,"Medium",IF($F630&gt;=5,"Low",IF($F630&gt;0,"Very Low","")))))</f>
        <v/>
      </c>
      <c r="H630" s="5" t="n"/>
    </row>
    <row r="631">
      <c r="B631" s="6" t="n"/>
      <c r="F631">
        <f>D631*E631</f>
        <v/>
      </c>
      <c r="G631">
        <f>IF($F631&gt;=20,"Critical",IF($F631&gt;=15,"High",IF($F631&gt;=10,"Medium",IF($F631&gt;=5,"Low",IF($F631&gt;0,"Very Low","")))))</f>
        <v/>
      </c>
      <c r="H631" s="5" t="n"/>
    </row>
    <row r="632">
      <c r="B632" s="6" t="n"/>
      <c r="F632">
        <f>D632*E632</f>
        <v/>
      </c>
      <c r="G632">
        <f>IF($F632&gt;=20,"Critical",IF($F632&gt;=15,"High",IF($F632&gt;=10,"Medium",IF($F632&gt;=5,"Low",IF($F632&gt;0,"Very Low","")))))</f>
        <v/>
      </c>
      <c r="H632" s="5" t="n"/>
    </row>
    <row r="633">
      <c r="B633" s="6" t="n"/>
      <c r="F633">
        <f>D633*E633</f>
        <v/>
      </c>
      <c r="G633">
        <f>IF($F633&gt;=20,"Critical",IF($F633&gt;=15,"High",IF($F633&gt;=10,"Medium",IF($F633&gt;=5,"Low",IF($F633&gt;0,"Very Low","")))))</f>
        <v/>
      </c>
      <c r="H633" s="5" t="n"/>
    </row>
    <row r="634">
      <c r="B634" s="6" t="n"/>
      <c r="F634">
        <f>D634*E634</f>
        <v/>
      </c>
      <c r="G634">
        <f>IF($F634&gt;=20,"Critical",IF($F634&gt;=15,"High",IF($F634&gt;=10,"Medium",IF($F634&gt;=5,"Low",IF($F634&gt;0,"Very Low","")))))</f>
        <v/>
      </c>
      <c r="H634" s="5" t="n"/>
    </row>
    <row r="635">
      <c r="B635" s="6" t="n"/>
      <c r="F635">
        <f>D635*E635</f>
        <v/>
      </c>
      <c r="G635">
        <f>IF($F635&gt;=20,"Critical",IF($F635&gt;=15,"High",IF($F635&gt;=10,"Medium",IF($F635&gt;=5,"Low",IF($F635&gt;0,"Very Low","")))))</f>
        <v/>
      </c>
      <c r="H635" s="5" t="n"/>
    </row>
    <row r="636">
      <c r="B636" s="6" t="n"/>
      <c r="F636">
        <f>D636*E636</f>
        <v/>
      </c>
      <c r="G636">
        <f>IF($F636&gt;=20,"Critical",IF($F636&gt;=15,"High",IF($F636&gt;=10,"Medium",IF($F636&gt;=5,"Low",IF($F636&gt;0,"Very Low","")))))</f>
        <v/>
      </c>
      <c r="H636" s="5" t="n"/>
    </row>
    <row r="637">
      <c r="B637" s="6" t="n"/>
      <c r="F637">
        <f>D637*E637</f>
        <v/>
      </c>
      <c r="G637">
        <f>IF($F637&gt;=20,"Critical",IF($F637&gt;=15,"High",IF($F637&gt;=10,"Medium",IF($F637&gt;=5,"Low",IF($F637&gt;0,"Very Low","")))))</f>
        <v/>
      </c>
      <c r="H637" s="5" t="n"/>
    </row>
    <row r="638">
      <c r="B638" s="6" t="n"/>
      <c r="F638">
        <f>D638*E638</f>
        <v/>
      </c>
      <c r="G638">
        <f>IF($F638&gt;=20,"Critical",IF($F638&gt;=15,"High",IF($F638&gt;=10,"Medium",IF($F638&gt;=5,"Low",IF($F638&gt;0,"Very Low","")))))</f>
        <v/>
      </c>
      <c r="H638" s="5" t="n"/>
    </row>
    <row r="639">
      <c r="B639" s="6" t="n"/>
      <c r="F639">
        <f>D639*E639</f>
        <v/>
      </c>
      <c r="G639">
        <f>IF($F639&gt;=20,"Critical",IF($F639&gt;=15,"High",IF($F639&gt;=10,"Medium",IF($F639&gt;=5,"Low",IF($F639&gt;0,"Very Low","")))))</f>
        <v/>
      </c>
      <c r="H639" s="5" t="n"/>
    </row>
    <row r="640">
      <c r="B640" s="6" t="n"/>
      <c r="F640">
        <f>D640*E640</f>
        <v/>
      </c>
      <c r="G640">
        <f>IF($F640&gt;=20,"Critical",IF($F640&gt;=15,"High",IF($F640&gt;=10,"Medium",IF($F640&gt;=5,"Low",IF($F640&gt;0,"Very Low","")))))</f>
        <v/>
      </c>
      <c r="H640" s="5" t="n"/>
    </row>
    <row r="641">
      <c r="B641" s="6" t="n"/>
      <c r="F641">
        <f>D641*E641</f>
        <v/>
      </c>
      <c r="G641">
        <f>IF($F641&gt;=20,"Critical",IF($F641&gt;=15,"High",IF($F641&gt;=10,"Medium",IF($F641&gt;=5,"Low",IF($F641&gt;0,"Very Low","")))))</f>
        <v/>
      </c>
      <c r="H641" s="5" t="n"/>
    </row>
    <row r="642">
      <c r="B642" s="6" t="n"/>
      <c r="F642">
        <f>D642*E642</f>
        <v/>
      </c>
      <c r="G642">
        <f>IF($F642&gt;=20,"Critical",IF($F642&gt;=15,"High",IF($F642&gt;=10,"Medium",IF($F642&gt;=5,"Low",IF($F642&gt;0,"Very Low","")))))</f>
        <v/>
      </c>
      <c r="H642" s="5" t="n"/>
    </row>
    <row r="643">
      <c r="B643" s="6" t="n"/>
      <c r="F643">
        <f>D643*E643</f>
        <v/>
      </c>
      <c r="G643">
        <f>IF($F643&gt;=20,"Critical",IF($F643&gt;=15,"High",IF($F643&gt;=10,"Medium",IF($F643&gt;=5,"Low",IF($F643&gt;0,"Very Low","")))))</f>
        <v/>
      </c>
      <c r="H643" s="5" t="n"/>
    </row>
    <row r="644">
      <c r="B644" s="6" t="n"/>
      <c r="F644">
        <f>D644*E644</f>
        <v/>
      </c>
      <c r="G644">
        <f>IF($F644&gt;=20,"Critical",IF($F644&gt;=15,"High",IF($F644&gt;=10,"Medium",IF($F644&gt;=5,"Low",IF($F644&gt;0,"Very Low","")))))</f>
        <v/>
      </c>
      <c r="H644" s="5" t="n"/>
    </row>
    <row r="645">
      <c r="B645" s="6" t="n"/>
      <c r="F645">
        <f>D645*E645</f>
        <v/>
      </c>
      <c r="G645">
        <f>IF($F645&gt;=20,"Critical",IF($F645&gt;=15,"High",IF($F645&gt;=10,"Medium",IF($F645&gt;=5,"Low",IF($F645&gt;0,"Very Low","")))))</f>
        <v/>
      </c>
      <c r="H645" s="5" t="n"/>
    </row>
    <row r="646">
      <c r="B646" s="6" t="n"/>
      <c r="F646">
        <f>D646*E646</f>
        <v/>
      </c>
      <c r="G646">
        <f>IF($F646&gt;=20,"Critical",IF($F646&gt;=15,"High",IF($F646&gt;=10,"Medium",IF($F646&gt;=5,"Low",IF($F646&gt;0,"Very Low","")))))</f>
        <v/>
      </c>
      <c r="H646" s="5" t="n"/>
    </row>
    <row r="647">
      <c r="B647" s="6" t="n"/>
      <c r="F647">
        <f>D647*E647</f>
        <v/>
      </c>
      <c r="G647">
        <f>IF($F647&gt;=20,"Critical",IF($F647&gt;=15,"High",IF($F647&gt;=10,"Medium",IF($F647&gt;=5,"Low",IF($F647&gt;0,"Very Low","")))))</f>
        <v/>
      </c>
      <c r="H647" s="5" t="n"/>
    </row>
    <row r="648">
      <c r="B648" s="6" t="n"/>
      <c r="F648">
        <f>D648*E648</f>
        <v/>
      </c>
      <c r="G648">
        <f>IF($F648&gt;=20,"Critical",IF($F648&gt;=15,"High",IF($F648&gt;=10,"Medium",IF($F648&gt;=5,"Low",IF($F648&gt;0,"Very Low","")))))</f>
        <v/>
      </c>
      <c r="H648" s="5" t="n"/>
    </row>
    <row r="649">
      <c r="B649" s="6" t="n"/>
      <c r="F649">
        <f>D649*E649</f>
        <v/>
      </c>
      <c r="G649">
        <f>IF($F649&gt;=20,"Critical",IF($F649&gt;=15,"High",IF($F649&gt;=10,"Medium",IF($F649&gt;=5,"Low",IF($F649&gt;0,"Very Low","")))))</f>
        <v/>
      </c>
      <c r="H649" s="5" t="n"/>
    </row>
    <row r="650">
      <c r="B650" s="6" t="n"/>
      <c r="F650">
        <f>D650*E650</f>
        <v/>
      </c>
      <c r="G650">
        <f>IF($F650&gt;=20,"Critical",IF($F650&gt;=15,"High",IF($F650&gt;=10,"Medium",IF($F650&gt;=5,"Low",IF($F650&gt;0,"Very Low","")))))</f>
        <v/>
      </c>
      <c r="H650" s="5" t="n"/>
    </row>
    <row r="651">
      <c r="B651" s="6" t="n"/>
      <c r="F651">
        <f>D651*E651</f>
        <v/>
      </c>
      <c r="G651">
        <f>IF($F651&gt;=20,"Critical",IF($F651&gt;=15,"High",IF($F651&gt;=10,"Medium",IF($F651&gt;=5,"Low",IF($F651&gt;0,"Very Low","")))))</f>
        <v/>
      </c>
      <c r="H651" s="5" t="n"/>
    </row>
    <row r="652">
      <c r="B652" s="6" t="n"/>
      <c r="F652">
        <f>D652*E652</f>
        <v/>
      </c>
      <c r="G652">
        <f>IF($F652&gt;=20,"Critical",IF($F652&gt;=15,"High",IF($F652&gt;=10,"Medium",IF($F652&gt;=5,"Low",IF($F652&gt;0,"Very Low","")))))</f>
        <v/>
      </c>
      <c r="H652" s="5" t="n"/>
    </row>
    <row r="653">
      <c r="B653" s="6" t="n"/>
      <c r="F653">
        <f>D653*E653</f>
        <v/>
      </c>
      <c r="G653">
        <f>IF($F653&gt;=20,"Critical",IF($F653&gt;=15,"High",IF($F653&gt;=10,"Medium",IF($F653&gt;=5,"Low",IF($F653&gt;0,"Very Low","")))))</f>
        <v/>
      </c>
      <c r="H653" s="5" t="n"/>
    </row>
    <row r="654">
      <c r="B654" s="6" t="n"/>
      <c r="F654">
        <f>D654*E654</f>
        <v/>
      </c>
      <c r="G654">
        <f>IF($F654&gt;=20,"Critical",IF($F654&gt;=15,"High",IF($F654&gt;=10,"Medium",IF($F654&gt;=5,"Low",IF($F654&gt;0,"Very Low","")))))</f>
        <v/>
      </c>
      <c r="H654" s="5" t="n"/>
    </row>
    <row r="655">
      <c r="B655" s="6" t="n"/>
      <c r="F655">
        <f>D655*E655</f>
        <v/>
      </c>
      <c r="G655">
        <f>IF($F655&gt;=20,"Critical",IF($F655&gt;=15,"High",IF($F655&gt;=10,"Medium",IF($F655&gt;=5,"Low",IF($F655&gt;0,"Very Low","")))))</f>
        <v/>
      </c>
      <c r="H655" s="5" t="n"/>
    </row>
    <row r="656">
      <c r="B656" s="6" t="n"/>
      <c r="F656">
        <f>D656*E656</f>
        <v/>
      </c>
      <c r="G656">
        <f>IF($F656&gt;=20,"Critical",IF($F656&gt;=15,"High",IF($F656&gt;=10,"Medium",IF($F656&gt;=5,"Low",IF($F656&gt;0,"Very Low","")))))</f>
        <v/>
      </c>
      <c r="H656" s="5" t="n"/>
    </row>
    <row r="657">
      <c r="B657" s="6" t="n"/>
      <c r="F657">
        <f>D657*E657</f>
        <v/>
      </c>
      <c r="G657">
        <f>IF($F657&gt;=20,"Critical",IF($F657&gt;=15,"High",IF($F657&gt;=10,"Medium",IF($F657&gt;=5,"Low",IF($F657&gt;0,"Very Low","")))))</f>
        <v/>
      </c>
      <c r="H657" s="5" t="n"/>
    </row>
    <row r="658">
      <c r="B658" s="6" t="n"/>
      <c r="F658">
        <f>D658*E658</f>
        <v/>
      </c>
      <c r="G658">
        <f>IF($F658&gt;=20,"Critical",IF($F658&gt;=15,"High",IF($F658&gt;=10,"Medium",IF($F658&gt;=5,"Low",IF($F658&gt;0,"Very Low","")))))</f>
        <v/>
      </c>
      <c r="H658" s="5" t="n"/>
    </row>
    <row r="659">
      <c r="B659" s="6" t="n"/>
      <c r="F659">
        <f>D659*E659</f>
        <v/>
      </c>
      <c r="G659">
        <f>IF($F659&gt;=20,"Critical",IF($F659&gt;=15,"High",IF($F659&gt;=10,"Medium",IF($F659&gt;=5,"Low",IF($F659&gt;0,"Very Low","")))))</f>
        <v/>
      </c>
      <c r="H659" s="5" t="n"/>
    </row>
    <row r="660">
      <c r="B660" s="6" t="n"/>
      <c r="F660">
        <f>D660*E660</f>
        <v/>
      </c>
      <c r="G660">
        <f>IF($F660&gt;=20,"Critical",IF($F660&gt;=15,"High",IF($F660&gt;=10,"Medium",IF($F660&gt;=5,"Low",IF($F660&gt;0,"Very Low","")))))</f>
        <v/>
      </c>
      <c r="H660" s="5" t="n"/>
    </row>
    <row r="661">
      <c r="B661" s="6" t="n"/>
      <c r="F661">
        <f>D661*E661</f>
        <v/>
      </c>
      <c r="G661">
        <f>IF($F661&gt;=20,"Critical",IF($F661&gt;=15,"High",IF($F661&gt;=10,"Medium",IF($F661&gt;=5,"Low",IF($F661&gt;0,"Very Low","")))))</f>
        <v/>
      </c>
      <c r="H661" s="5" t="n"/>
    </row>
    <row r="662">
      <c r="B662" s="6" t="n"/>
      <c r="F662">
        <f>D662*E662</f>
        <v/>
      </c>
      <c r="G662">
        <f>IF($F662&gt;=20,"Critical",IF($F662&gt;=15,"High",IF($F662&gt;=10,"Medium",IF($F662&gt;=5,"Low",IF($F662&gt;0,"Very Low","")))))</f>
        <v/>
      </c>
      <c r="H662" s="5" t="n"/>
    </row>
    <row r="663">
      <c r="B663" s="6" t="n"/>
      <c r="F663">
        <f>D663*E663</f>
        <v/>
      </c>
      <c r="G663">
        <f>IF($F663&gt;=20,"Critical",IF($F663&gt;=15,"High",IF($F663&gt;=10,"Medium",IF($F663&gt;=5,"Low",IF($F663&gt;0,"Very Low","")))))</f>
        <v/>
      </c>
      <c r="H663" s="5" t="n"/>
    </row>
    <row r="664">
      <c r="B664" s="6" t="n"/>
      <c r="F664">
        <f>D664*E664</f>
        <v/>
      </c>
      <c r="G664">
        <f>IF($F664&gt;=20,"Critical",IF($F664&gt;=15,"High",IF($F664&gt;=10,"Medium",IF($F664&gt;=5,"Low",IF($F664&gt;0,"Very Low","")))))</f>
        <v/>
      </c>
      <c r="H664" s="5" t="n"/>
    </row>
    <row r="665">
      <c r="B665" s="6" t="n"/>
      <c r="F665">
        <f>D665*E665</f>
        <v/>
      </c>
      <c r="G665">
        <f>IF($F665&gt;=20,"Critical",IF($F665&gt;=15,"High",IF($F665&gt;=10,"Medium",IF($F665&gt;=5,"Low",IF($F665&gt;0,"Very Low","")))))</f>
        <v/>
      </c>
      <c r="H665" s="5" t="n"/>
    </row>
    <row r="666">
      <c r="B666" s="6" t="n"/>
      <c r="F666">
        <f>D666*E666</f>
        <v/>
      </c>
      <c r="G666">
        <f>IF($F666&gt;=20,"Critical",IF($F666&gt;=15,"High",IF($F666&gt;=10,"Medium",IF($F666&gt;=5,"Low",IF($F666&gt;0,"Very Low","")))))</f>
        <v/>
      </c>
      <c r="H666" s="5" t="n"/>
    </row>
    <row r="667">
      <c r="B667" s="6" t="n"/>
      <c r="F667">
        <f>D667*E667</f>
        <v/>
      </c>
      <c r="G667">
        <f>IF($F667&gt;=20,"Critical",IF($F667&gt;=15,"High",IF($F667&gt;=10,"Medium",IF($F667&gt;=5,"Low",IF($F667&gt;0,"Very Low","")))))</f>
        <v/>
      </c>
      <c r="H667" s="5" t="n"/>
    </row>
    <row r="668">
      <c r="B668" s="6" t="n"/>
      <c r="F668">
        <f>D668*E668</f>
        <v/>
      </c>
      <c r="G668">
        <f>IF($F668&gt;=20,"Critical",IF($F668&gt;=15,"High",IF($F668&gt;=10,"Medium",IF($F668&gt;=5,"Low",IF($F668&gt;0,"Very Low","")))))</f>
        <v/>
      </c>
      <c r="H668" s="5" t="n"/>
    </row>
    <row r="669">
      <c r="B669" s="6" t="n"/>
      <c r="F669">
        <f>D669*E669</f>
        <v/>
      </c>
      <c r="G669">
        <f>IF($F669&gt;=20,"Critical",IF($F669&gt;=15,"High",IF($F669&gt;=10,"Medium",IF($F669&gt;=5,"Low",IF($F669&gt;0,"Very Low","")))))</f>
        <v/>
      </c>
      <c r="H669" s="5" t="n"/>
    </row>
    <row r="670">
      <c r="B670" s="6" t="n"/>
      <c r="F670">
        <f>D670*E670</f>
        <v/>
      </c>
      <c r="G670">
        <f>IF($F670&gt;=20,"Critical",IF($F670&gt;=15,"High",IF($F670&gt;=10,"Medium",IF($F670&gt;=5,"Low",IF($F670&gt;0,"Very Low","")))))</f>
        <v/>
      </c>
      <c r="H670" s="5" t="n"/>
    </row>
    <row r="671">
      <c r="B671" s="6" t="n"/>
      <c r="F671">
        <f>D671*E671</f>
        <v/>
      </c>
      <c r="G671">
        <f>IF($F671&gt;=20,"Critical",IF($F671&gt;=15,"High",IF($F671&gt;=10,"Medium",IF($F671&gt;=5,"Low",IF($F671&gt;0,"Very Low","")))))</f>
        <v/>
      </c>
      <c r="H671" s="5" t="n"/>
    </row>
    <row r="672">
      <c r="B672" s="6" t="n"/>
      <c r="F672">
        <f>D672*E672</f>
        <v/>
      </c>
      <c r="G672">
        <f>IF($F672&gt;=20,"Critical",IF($F672&gt;=15,"High",IF($F672&gt;=10,"Medium",IF($F672&gt;=5,"Low",IF($F672&gt;0,"Very Low","")))))</f>
        <v/>
      </c>
      <c r="H672" s="5" t="n"/>
    </row>
    <row r="673">
      <c r="B673" s="6" t="n"/>
      <c r="F673">
        <f>D673*E673</f>
        <v/>
      </c>
      <c r="G673">
        <f>IF($F673&gt;=20,"Critical",IF($F673&gt;=15,"High",IF($F673&gt;=10,"Medium",IF($F673&gt;=5,"Low",IF($F673&gt;0,"Very Low","")))))</f>
        <v/>
      </c>
      <c r="H673" s="5" t="n"/>
    </row>
    <row r="674">
      <c r="B674" s="6" t="n"/>
      <c r="F674">
        <f>D674*E674</f>
        <v/>
      </c>
      <c r="G674">
        <f>IF($F674&gt;=20,"Critical",IF($F674&gt;=15,"High",IF($F674&gt;=10,"Medium",IF($F674&gt;=5,"Low",IF($F674&gt;0,"Very Low","")))))</f>
        <v/>
      </c>
      <c r="H674" s="5" t="n"/>
    </row>
    <row r="675">
      <c r="B675" s="6" t="n"/>
      <c r="F675">
        <f>D675*E675</f>
        <v/>
      </c>
      <c r="G675">
        <f>IF($F675&gt;=20,"Critical",IF($F675&gt;=15,"High",IF($F675&gt;=10,"Medium",IF($F675&gt;=5,"Low",IF($F675&gt;0,"Very Low","")))))</f>
        <v/>
      </c>
      <c r="H675" s="5" t="n"/>
    </row>
    <row r="676">
      <c r="B676" s="6" t="n"/>
      <c r="F676">
        <f>D676*E676</f>
        <v/>
      </c>
      <c r="G676">
        <f>IF($F676&gt;=20,"Critical",IF($F676&gt;=15,"High",IF($F676&gt;=10,"Medium",IF($F676&gt;=5,"Low",IF($F676&gt;0,"Very Low","")))))</f>
        <v/>
      </c>
      <c r="H676" s="5" t="n"/>
    </row>
    <row r="677">
      <c r="B677" s="6" t="n"/>
      <c r="F677">
        <f>D677*E677</f>
        <v/>
      </c>
      <c r="G677">
        <f>IF($F677&gt;=20,"Critical",IF($F677&gt;=15,"High",IF($F677&gt;=10,"Medium",IF($F677&gt;=5,"Low",IF($F677&gt;0,"Very Low","")))))</f>
        <v/>
      </c>
      <c r="H677" s="5" t="n"/>
    </row>
    <row r="678">
      <c r="B678" s="6" t="n"/>
      <c r="F678">
        <f>D678*E678</f>
        <v/>
      </c>
      <c r="G678">
        <f>IF($F678&gt;=20,"Critical",IF($F678&gt;=15,"High",IF($F678&gt;=10,"Medium",IF($F678&gt;=5,"Low",IF($F678&gt;0,"Very Low","")))))</f>
        <v/>
      </c>
      <c r="H678" s="5" t="n"/>
    </row>
    <row r="679">
      <c r="B679" s="6" t="n"/>
      <c r="F679">
        <f>D679*E679</f>
        <v/>
      </c>
      <c r="G679">
        <f>IF($F679&gt;=20,"Critical",IF($F679&gt;=15,"High",IF($F679&gt;=10,"Medium",IF($F679&gt;=5,"Low",IF($F679&gt;0,"Very Low","")))))</f>
        <v/>
      </c>
      <c r="H679" s="5" t="n"/>
    </row>
    <row r="680">
      <c r="B680" s="6" t="n"/>
      <c r="F680">
        <f>D680*E680</f>
        <v/>
      </c>
      <c r="G680">
        <f>IF($F680&gt;=20,"Critical",IF($F680&gt;=15,"High",IF($F680&gt;=10,"Medium",IF($F680&gt;=5,"Low",IF($F680&gt;0,"Very Low","")))))</f>
        <v/>
      </c>
      <c r="H680" s="5" t="n"/>
    </row>
    <row r="681">
      <c r="B681" s="6" t="n"/>
      <c r="F681">
        <f>D681*E681</f>
        <v/>
      </c>
      <c r="G681">
        <f>IF($F681&gt;=20,"Critical",IF($F681&gt;=15,"High",IF($F681&gt;=10,"Medium",IF($F681&gt;=5,"Low",IF($F681&gt;0,"Very Low","")))))</f>
        <v/>
      </c>
      <c r="H681" s="5" t="n"/>
    </row>
    <row r="682">
      <c r="B682" s="6" t="n"/>
      <c r="F682">
        <f>D682*E682</f>
        <v/>
      </c>
      <c r="G682">
        <f>IF($F682&gt;=20,"Critical",IF($F682&gt;=15,"High",IF($F682&gt;=10,"Medium",IF($F682&gt;=5,"Low",IF($F682&gt;0,"Very Low","")))))</f>
        <v/>
      </c>
      <c r="H682" s="5" t="n"/>
    </row>
    <row r="683">
      <c r="B683" s="6" t="n"/>
      <c r="F683">
        <f>D683*E683</f>
        <v/>
      </c>
      <c r="G683">
        <f>IF($F683&gt;=20,"Critical",IF($F683&gt;=15,"High",IF($F683&gt;=10,"Medium",IF($F683&gt;=5,"Low",IF($F683&gt;0,"Very Low","")))))</f>
        <v/>
      </c>
      <c r="H683" s="5" t="n"/>
    </row>
    <row r="684">
      <c r="B684" s="6" t="n"/>
      <c r="F684">
        <f>D684*E684</f>
        <v/>
      </c>
      <c r="G684">
        <f>IF($F684&gt;=20,"Critical",IF($F684&gt;=15,"High",IF($F684&gt;=10,"Medium",IF($F684&gt;=5,"Low",IF($F684&gt;0,"Very Low","")))))</f>
        <v/>
      </c>
      <c r="H684" s="5" t="n"/>
    </row>
    <row r="685">
      <c r="B685" s="6" t="n"/>
      <c r="F685">
        <f>D685*E685</f>
        <v/>
      </c>
      <c r="G685">
        <f>IF($F685&gt;=20,"Critical",IF($F685&gt;=15,"High",IF($F685&gt;=10,"Medium",IF($F685&gt;=5,"Low",IF($F685&gt;0,"Very Low","")))))</f>
        <v/>
      </c>
      <c r="H685" s="5" t="n"/>
    </row>
    <row r="686">
      <c r="B686" s="6" t="n"/>
      <c r="F686">
        <f>D686*E686</f>
        <v/>
      </c>
      <c r="G686">
        <f>IF($F686&gt;=20,"Critical",IF($F686&gt;=15,"High",IF($F686&gt;=10,"Medium",IF($F686&gt;=5,"Low",IF($F686&gt;0,"Very Low","")))))</f>
        <v/>
      </c>
      <c r="H686" s="5" t="n"/>
    </row>
    <row r="687">
      <c r="B687" s="6" t="n"/>
      <c r="F687">
        <f>D687*E687</f>
        <v/>
      </c>
      <c r="G687">
        <f>IF($F687&gt;=20,"Critical",IF($F687&gt;=15,"High",IF($F687&gt;=10,"Medium",IF($F687&gt;=5,"Low",IF($F687&gt;0,"Very Low","")))))</f>
        <v/>
      </c>
      <c r="H687" s="5" t="n"/>
    </row>
    <row r="688">
      <c r="B688" s="6" t="n"/>
      <c r="F688">
        <f>D688*E688</f>
        <v/>
      </c>
      <c r="G688">
        <f>IF($F688&gt;=20,"Critical",IF($F688&gt;=15,"High",IF($F688&gt;=10,"Medium",IF($F688&gt;=5,"Low",IF($F688&gt;0,"Very Low","")))))</f>
        <v/>
      </c>
      <c r="H688" s="5" t="n"/>
    </row>
    <row r="689">
      <c r="B689" s="6" t="n"/>
      <c r="F689">
        <f>D689*E689</f>
        <v/>
      </c>
      <c r="G689">
        <f>IF($F689&gt;=20,"Critical",IF($F689&gt;=15,"High",IF($F689&gt;=10,"Medium",IF($F689&gt;=5,"Low",IF($F689&gt;0,"Very Low","")))))</f>
        <v/>
      </c>
      <c r="H689" s="5" t="n"/>
    </row>
    <row r="690">
      <c r="B690" s="6" t="n"/>
      <c r="F690">
        <f>D690*E690</f>
        <v/>
      </c>
      <c r="G690">
        <f>IF($F690&gt;=20,"Critical",IF($F690&gt;=15,"High",IF($F690&gt;=10,"Medium",IF($F690&gt;=5,"Low",IF($F690&gt;0,"Very Low","")))))</f>
        <v/>
      </c>
      <c r="H690" s="5" t="n"/>
    </row>
    <row r="691">
      <c r="B691" s="6" t="n"/>
      <c r="F691">
        <f>D691*E691</f>
        <v/>
      </c>
      <c r="G691">
        <f>IF($F691&gt;=20,"Critical",IF($F691&gt;=15,"High",IF($F691&gt;=10,"Medium",IF($F691&gt;=5,"Low",IF($F691&gt;0,"Very Low","")))))</f>
        <v/>
      </c>
      <c r="H691" s="5" t="n"/>
    </row>
    <row r="692">
      <c r="B692" s="6" t="n"/>
      <c r="F692">
        <f>D692*E692</f>
        <v/>
      </c>
      <c r="G692">
        <f>IF($F692&gt;=20,"Critical",IF($F692&gt;=15,"High",IF($F692&gt;=10,"Medium",IF($F692&gt;=5,"Low",IF($F692&gt;0,"Very Low","")))))</f>
        <v/>
      </c>
      <c r="H692" s="5" t="n"/>
    </row>
    <row r="693">
      <c r="B693" s="6" t="n"/>
      <c r="F693">
        <f>D693*E693</f>
        <v/>
      </c>
      <c r="G693">
        <f>IF($F693&gt;=20,"Critical",IF($F693&gt;=15,"High",IF($F693&gt;=10,"Medium",IF($F693&gt;=5,"Low",IF($F693&gt;0,"Very Low","")))))</f>
        <v/>
      </c>
      <c r="H693" s="5" t="n"/>
    </row>
    <row r="694">
      <c r="B694" s="6" t="n"/>
      <c r="F694">
        <f>D694*E694</f>
        <v/>
      </c>
      <c r="G694">
        <f>IF($F694&gt;=20,"Critical",IF($F694&gt;=15,"High",IF($F694&gt;=10,"Medium",IF($F694&gt;=5,"Low",IF($F694&gt;0,"Very Low","")))))</f>
        <v/>
      </c>
      <c r="H694" s="5" t="n"/>
    </row>
    <row r="695">
      <c r="B695" s="6" t="n"/>
      <c r="F695">
        <f>D695*E695</f>
        <v/>
      </c>
      <c r="G695">
        <f>IF($F695&gt;=20,"Critical",IF($F695&gt;=15,"High",IF($F695&gt;=10,"Medium",IF($F695&gt;=5,"Low",IF($F695&gt;0,"Very Low","")))))</f>
        <v/>
      </c>
      <c r="H695" s="5" t="n"/>
    </row>
    <row r="696">
      <c r="B696" s="6" t="n"/>
      <c r="F696">
        <f>D696*E696</f>
        <v/>
      </c>
      <c r="G696">
        <f>IF($F696&gt;=20,"Critical",IF($F696&gt;=15,"High",IF($F696&gt;=10,"Medium",IF($F696&gt;=5,"Low",IF($F696&gt;0,"Very Low","")))))</f>
        <v/>
      </c>
      <c r="H696" s="5" t="n"/>
    </row>
    <row r="697">
      <c r="B697" s="6" t="n"/>
      <c r="F697">
        <f>D697*E697</f>
        <v/>
      </c>
      <c r="G697">
        <f>IF($F697&gt;=20,"Critical",IF($F697&gt;=15,"High",IF($F697&gt;=10,"Medium",IF($F697&gt;=5,"Low",IF($F697&gt;0,"Very Low","")))))</f>
        <v/>
      </c>
      <c r="H697" s="5" t="n"/>
    </row>
    <row r="698">
      <c r="B698" s="6" t="n"/>
      <c r="F698">
        <f>D698*E698</f>
        <v/>
      </c>
      <c r="G698">
        <f>IF($F698&gt;=20,"Critical",IF($F698&gt;=15,"High",IF($F698&gt;=10,"Medium",IF($F698&gt;=5,"Low",IF($F698&gt;0,"Very Low","")))))</f>
        <v/>
      </c>
      <c r="H698" s="5" t="n"/>
    </row>
    <row r="699">
      <c r="B699" s="6" t="n"/>
      <c r="F699">
        <f>D699*E699</f>
        <v/>
      </c>
      <c r="G699">
        <f>IF($F699&gt;=20,"Critical",IF($F699&gt;=15,"High",IF($F699&gt;=10,"Medium",IF($F699&gt;=5,"Low",IF($F699&gt;0,"Very Low","")))))</f>
        <v/>
      </c>
      <c r="H699" s="5" t="n"/>
    </row>
    <row r="700">
      <c r="B700" s="6" t="n"/>
      <c r="F700">
        <f>D700*E700</f>
        <v/>
      </c>
      <c r="G700">
        <f>IF($F700&gt;=20,"Critical",IF($F700&gt;=15,"High",IF($F700&gt;=10,"Medium",IF($F700&gt;=5,"Low",IF($F700&gt;0,"Very Low","")))))</f>
        <v/>
      </c>
      <c r="H700" s="5" t="n"/>
    </row>
    <row r="701">
      <c r="B701" s="6" t="n"/>
      <c r="F701">
        <f>D701*E701</f>
        <v/>
      </c>
      <c r="G701">
        <f>IF($F701&gt;=20,"Critical",IF($F701&gt;=15,"High",IF($F701&gt;=10,"Medium",IF($F701&gt;=5,"Low",IF($F701&gt;0,"Very Low","")))))</f>
        <v/>
      </c>
      <c r="H701" s="5" t="n"/>
    </row>
    <row r="702">
      <c r="B702" s="6" t="n"/>
      <c r="F702">
        <f>D702*E702</f>
        <v/>
      </c>
      <c r="G702">
        <f>IF($F702&gt;=20,"Critical",IF($F702&gt;=15,"High",IF($F702&gt;=10,"Medium",IF($F702&gt;=5,"Low",IF($F702&gt;0,"Very Low","")))))</f>
        <v/>
      </c>
      <c r="H702" s="5" t="n"/>
    </row>
    <row r="703">
      <c r="B703" s="6" t="n"/>
      <c r="F703">
        <f>D703*E703</f>
        <v/>
      </c>
      <c r="G703">
        <f>IF($F703&gt;=20,"Critical",IF($F703&gt;=15,"High",IF($F703&gt;=10,"Medium",IF($F703&gt;=5,"Low",IF($F703&gt;0,"Very Low","")))))</f>
        <v/>
      </c>
      <c r="H703" s="5" t="n"/>
    </row>
    <row r="704">
      <c r="B704" s="6" t="n"/>
      <c r="F704">
        <f>D704*E704</f>
        <v/>
      </c>
      <c r="G704">
        <f>IF($F704&gt;=20,"Critical",IF($F704&gt;=15,"High",IF($F704&gt;=10,"Medium",IF($F704&gt;=5,"Low",IF($F704&gt;0,"Very Low","")))))</f>
        <v/>
      </c>
      <c r="H704" s="5" t="n"/>
    </row>
    <row r="705">
      <c r="B705" s="6" t="n"/>
      <c r="F705">
        <f>D705*E705</f>
        <v/>
      </c>
      <c r="G705">
        <f>IF($F705&gt;=20,"Critical",IF($F705&gt;=15,"High",IF($F705&gt;=10,"Medium",IF($F705&gt;=5,"Low",IF($F705&gt;0,"Very Low","")))))</f>
        <v/>
      </c>
      <c r="H705" s="5" t="n"/>
    </row>
    <row r="706">
      <c r="B706" s="6" t="n"/>
      <c r="F706">
        <f>D706*E706</f>
        <v/>
      </c>
      <c r="G706">
        <f>IF($F706&gt;=20,"Critical",IF($F706&gt;=15,"High",IF($F706&gt;=10,"Medium",IF($F706&gt;=5,"Low",IF($F706&gt;0,"Very Low","")))))</f>
        <v/>
      </c>
      <c r="H706" s="5" t="n"/>
    </row>
    <row r="707">
      <c r="B707" s="6" t="n"/>
      <c r="F707">
        <f>D707*E707</f>
        <v/>
      </c>
      <c r="G707">
        <f>IF($F707&gt;=20,"Critical",IF($F707&gt;=15,"High",IF($F707&gt;=10,"Medium",IF($F707&gt;=5,"Low",IF($F707&gt;0,"Very Low","")))))</f>
        <v/>
      </c>
      <c r="H707" s="5" t="n"/>
    </row>
    <row r="708">
      <c r="B708" s="6" t="n"/>
      <c r="F708">
        <f>D708*E708</f>
        <v/>
      </c>
      <c r="G708">
        <f>IF($F708&gt;=20,"Critical",IF($F708&gt;=15,"High",IF($F708&gt;=10,"Medium",IF($F708&gt;=5,"Low",IF($F708&gt;0,"Very Low","")))))</f>
        <v/>
      </c>
      <c r="H708" s="5" t="n"/>
    </row>
    <row r="709">
      <c r="B709" s="6" t="n"/>
      <c r="F709">
        <f>D709*E709</f>
        <v/>
      </c>
      <c r="G709">
        <f>IF($F709&gt;=20,"Critical",IF($F709&gt;=15,"High",IF($F709&gt;=10,"Medium",IF($F709&gt;=5,"Low",IF($F709&gt;0,"Very Low","")))))</f>
        <v/>
      </c>
      <c r="H709" s="5" t="n"/>
    </row>
    <row r="710">
      <c r="B710" s="6" t="n"/>
      <c r="F710">
        <f>D710*E710</f>
        <v/>
      </c>
      <c r="G710">
        <f>IF($F710&gt;=20,"Critical",IF($F710&gt;=15,"High",IF($F710&gt;=10,"Medium",IF($F710&gt;=5,"Low",IF($F710&gt;0,"Very Low","")))))</f>
        <v/>
      </c>
      <c r="H710" s="5" t="n"/>
    </row>
    <row r="711">
      <c r="B711" s="6" t="n"/>
      <c r="F711">
        <f>D711*E711</f>
        <v/>
      </c>
      <c r="G711">
        <f>IF($F711&gt;=20,"Critical",IF($F711&gt;=15,"High",IF($F711&gt;=10,"Medium",IF($F711&gt;=5,"Low",IF($F711&gt;0,"Very Low","")))))</f>
        <v/>
      </c>
      <c r="H711" s="5" t="n"/>
    </row>
    <row r="712">
      <c r="B712" s="6" t="n"/>
      <c r="F712">
        <f>D712*E712</f>
        <v/>
      </c>
      <c r="G712">
        <f>IF($F712&gt;=20,"Critical",IF($F712&gt;=15,"High",IF($F712&gt;=10,"Medium",IF($F712&gt;=5,"Low",IF($F712&gt;0,"Very Low","")))))</f>
        <v/>
      </c>
      <c r="H712" s="5" t="n"/>
    </row>
    <row r="713">
      <c r="B713" s="6" t="n"/>
      <c r="F713">
        <f>D713*E713</f>
        <v/>
      </c>
      <c r="G713">
        <f>IF($F713&gt;=20,"Critical",IF($F713&gt;=15,"High",IF($F713&gt;=10,"Medium",IF($F713&gt;=5,"Low",IF($F713&gt;0,"Very Low","")))))</f>
        <v/>
      </c>
      <c r="H713" s="5" t="n"/>
    </row>
    <row r="714">
      <c r="B714" s="6" t="n"/>
      <c r="F714">
        <f>D714*E714</f>
        <v/>
      </c>
      <c r="G714">
        <f>IF($F714&gt;=20,"Critical",IF($F714&gt;=15,"High",IF($F714&gt;=10,"Medium",IF($F714&gt;=5,"Low",IF($F714&gt;0,"Very Low","")))))</f>
        <v/>
      </c>
      <c r="H714" s="5" t="n"/>
    </row>
    <row r="715">
      <c r="B715" s="6" t="n"/>
      <c r="F715">
        <f>D715*E715</f>
        <v/>
      </c>
      <c r="G715">
        <f>IF($F715&gt;=20,"Critical",IF($F715&gt;=15,"High",IF($F715&gt;=10,"Medium",IF($F715&gt;=5,"Low",IF($F715&gt;0,"Very Low","")))))</f>
        <v/>
      </c>
      <c r="H715" s="5" t="n"/>
    </row>
    <row r="716">
      <c r="B716" s="6" t="n"/>
      <c r="F716">
        <f>D716*E716</f>
        <v/>
      </c>
      <c r="G716">
        <f>IF($F716&gt;=20,"Critical",IF($F716&gt;=15,"High",IF($F716&gt;=10,"Medium",IF($F716&gt;=5,"Low",IF($F716&gt;0,"Very Low","")))))</f>
        <v/>
      </c>
      <c r="H716" s="5" t="n"/>
    </row>
    <row r="717">
      <c r="B717" s="6" t="n"/>
      <c r="F717">
        <f>D717*E717</f>
        <v/>
      </c>
      <c r="G717">
        <f>IF($F717&gt;=20,"Critical",IF($F717&gt;=15,"High",IF($F717&gt;=10,"Medium",IF($F717&gt;=5,"Low",IF($F717&gt;0,"Very Low","")))))</f>
        <v/>
      </c>
      <c r="H717" s="5" t="n"/>
    </row>
    <row r="718">
      <c r="B718" s="6" t="n"/>
      <c r="F718">
        <f>D718*E718</f>
        <v/>
      </c>
      <c r="G718">
        <f>IF($F718&gt;=20,"Critical",IF($F718&gt;=15,"High",IF($F718&gt;=10,"Medium",IF($F718&gt;=5,"Low",IF($F718&gt;0,"Very Low","")))))</f>
        <v/>
      </c>
      <c r="H718" s="5" t="n"/>
    </row>
    <row r="719">
      <c r="B719" s="6" t="n"/>
      <c r="F719">
        <f>D719*E719</f>
        <v/>
      </c>
      <c r="G719">
        <f>IF($F719&gt;=20,"Critical",IF($F719&gt;=15,"High",IF($F719&gt;=10,"Medium",IF($F719&gt;=5,"Low",IF($F719&gt;0,"Very Low","")))))</f>
        <v/>
      </c>
      <c r="H719" s="5" t="n"/>
    </row>
    <row r="720">
      <c r="B720" s="6" t="n"/>
      <c r="F720">
        <f>D720*E720</f>
        <v/>
      </c>
      <c r="G720">
        <f>IF($F720&gt;=20,"Critical",IF($F720&gt;=15,"High",IF($F720&gt;=10,"Medium",IF($F720&gt;=5,"Low",IF($F720&gt;0,"Very Low","")))))</f>
        <v/>
      </c>
      <c r="H720" s="5" t="n"/>
    </row>
    <row r="721">
      <c r="B721" s="6" t="n"/>
      <c r="F721">
        <f>D721*E721</f>
        <v/>
      </c>
      <c r="G721">
        <f>IF($F721&gt;=20,"Critical",IF($F721&gt;=15,"High",IF($F721&gt;=10,"Medium",IF($F721&gt;=5,"Low",IF($F721&gt;0,"Very Low","")))))</f>
        <v/>
      </c>
      <c r="H721" s="5" t="n"/>
    </row>
    <row r="722">
      <c r="B722" s="6" t="n"/>
      <c r="F722">
        <f>D722*E722</f>
        <v/>
      </c>
      <c r="G722">
        <f>IF($F722&gt;=20,"Critical",IF($F722&gt;=15,"High",IF($F722&gt;=10,"Medium",IF($F722&gt;=5,"Low",IF($F722&gt;0,"Very Low","")))))</f>
        <v/>
      </c>
      <c r="H722" s="5" t="n"/>
    </row>
    <row r="723">
      <c r="B723" s="6" t="n"/>
      <c r="F723">
        <f>D723*E723</f>
        <v/>
      </c>
      <c r="G723">
        <f>IF($F723&gt;=20,"Critical",IF($F723&gt;=15,"High",IF($F723&gt;=10,"Medium",IF($F723&gt;=5,"Low",IF($F723&gt;0,"Very Low","")))))</f>
        <v/>
      </c>
      <c r="H723" s="5" t="n"/>
    </row>
    <row r="724">
      <c r="B724" s="6" t="n"/>
      <c r="F724">
        <f>D724*E724</f>
        <v/>
      </c>
      <c r="G724">
        <f>IF($F724&gt;=20,"Critical",IF($F724&gt;=15,"High",IF($F724&gt;=10,"Medium",IF($F724&gt;=5,"Low",IF($F724&gt;0,"Very Low","")))))</f>
        <v/>
      </c>
      <c r="H724" s="5" t="n"/>
    </row>
    <row r="725">
      <c r="B725" s="6" t="n"/>
      <c r="F725">
        <f>D725*E725</f>
        <v/>
      </c>
      <c r="G725">
        <f>IF($F725&gt;=20,"Critical",IF($F725&gt;=15,"High",IF($F725&gt;=10,"Medium",IF($F725&gt;=5,"Low",IF($F725&gt;0,"Very Low","")))))</f>
        <v/>
      </c>
      <c r="H725" s="5" t="n"/>
    </row>
    <row r="726">
      <c r="B726" s="6" t="n"/>
      <c r="F726">
        <f>D726*E726</f>
        <v/>
      </c>
      <c r="G726">
        <f>IF($F726&gt;=20,"Critical",IF($F726&gt;=15,"High",IF($F726&gt;=10,"Medium",IF($F726&gt;=5,"Low",IF($F726&gt;0,"Very Low","")))))</f>
        <v/>
      </c>
      <c r="H726" s="5" t="n"/>
    </row>
    <row r="727">
      <c r="B727" s="6" t="n"/>
      <c r="F727">
        <f>D727*E727</f>
        <v/>
      </c>
      <c r="G727">
        <f>IF($F727&gt;=20,"Critical",IF($F727&gt;=15,"High",IF($F727&gt;=10,"Medium",IF($F727&gt;=5,"Low",IF($F727&gt;0,"Very Low","")))))</f>
        <v/>
      </c>
      <c r="H727" s="5" t="n"/>
    </row>
    <row r="728">
      <c r="B728" s="6" t="n"/>
      <c r="F728">
        <f>D728*E728</f>
        <v/>
      </c>
      <c r="G728">
        <f>IF($F728&gt;=20,"Critical",IF($F728&gt;=15,"High",IF($F728&gt;=10,"Medium",IF($F728&gt;=5,"Low",IF($F728&gt;0,"Very Low","")))))</f>
        <v/>
      </c>
      <c r="H728" s="5" t="n"/>
    </row>
    <row r="729">
      <c r="B729" s="6" t="n"/>
      <c r="F729">
        <f>D729*E729</f>
        <v/>
      </c>
      <c r="G729">
        <f>IF($F729&gt;=20,"Critical",IF($F729&gt;=15,"High",IF($F729&gt;=10,"Medium",IF($F729&gt;=5,"Low",IF($F729&gt;0,"Very Low","")))))</f>
        <v/>
      </c>
      <c r="H729" s="5" t="n"/>
    </row>
    <row r="730">
      <c r="B730" s="6" t="n"/>
      <c r="F730">
        <f>D730*E730</f>
        <v/>
      </c>
      <c r="G730">
        <f>IF($F730&gt;=20,"Critical",IF($F730&gt;=15,"High",IF($F730&gt;=10,"Medium",IF($F730&gt;=5,"Low",IF($F730&gt;0,"Very Low","")))))</f>
        <v/>
      </c>
      <c r="H730" s="5" t="n"/>
    </row>
    <row r="731">
      <c r="B731" s="6" t="n"/>
      <c r="F731">
        <f>D731*E731</f>
        <v/>
      </c>
      <c r="G731">
        <f>IF($F731&gt;=20,"Critical",IF($F731&gt;=15,"High",IF($F731&gt;=10,"Medium",IF($F731&gt;=5,"Low",IF($F731&gt;0,"Very Low","")))))</f>
        <v/>
      </c>
      <c r="H731" s="5" t="n"/>
    </row>
    <row r="732">
      <c r="B732" s="6" t="n"/>
      <c r="F732">
        <f>D732*E732</f>
        <v/>
      </c>
      <c r="G732">
        <f>IF($F732&gt;=20,"Critical",IF($F732&gt;=15,"High",IF($F732&gt;=10,"Medium",IF($F732&gt;=5,"Low",IF($F732&gt;0,"Very Low","")))))</f>
        <v/>
      </c>
      <c r="H732" s="5" t="n"/>
    </row>
    <row r="733">
      <c r="B733" s="6" t="n"/>
      <c r="F733">
        <f>D733*E733</f>
        <v/>
      </c>
      <c r="G733">
        <f>IF($F733&gt;=20,"Critical",IF($F733&gt;=15,"High",IF($F733&gt;=10,"Medium",IF($F733&gt;=5,"Low",IF($F733&gt;0,"Very Low","")))))</f>
        <v/>
      </c>
      <c r="H733" s="5" t="n"/>
    </row>
    <row r="734">
      <c r="B734" s="6" t="n"/>
      <c r="F734">
        <f>D734*E734</f>
        <v/>
      </c>
      <c r="G734">
        <f>IF($F734&gt;=20,"Critical",IF($F734&gt;=15,"High",IF($F734&gt;=10,"Medium",IF($F734&gt;=5,"Low",IF($F734&gt;0,"Very Low","")))))</f>
        <v/>
      </c>
      <c r="H734" s="5" t="n"/>
    </row>
    <row r="735">
      <c r="B735" s="6" t="n"/>
      <c r="F735">
        <f>D735*E735</f>
        <v/>
      </c>
      <c r="G735">
        <f>IF($F735&gt;=20,"Critical",IF($F735&gt;=15,"High",IF($F735&gt;=10,"Medium",IF($F735&gt;=5,"Low",IF($F735&gt;0,"Very Low","")))))</f>
        <v/>
      </c>
      <c r="H735" s="5" t="n"/>
    </row>
    <row r="736">
      <c r="B736" s="6" t="n"/>
      <c r="F736">
        <f>D736*E736</f>
        <v/>
      </c>
      <c r="G736">
        <f>IF($F736&gt;=20,"Critical",IF($F736&gt;=15,"High",IF($F736&gt;=10,"Medium",IF($F736&gt;=5,"Low",IF($F736&gt;0,"Very Low","")))))</f>
        <v/>
      </c>
      <c r="H736" s="5" t="n"/>
    </row>
    <row r="737">
      <c r="B737" s="6" t="n"/>
      <c r="F737">
        <f>D737*E737</f>
        <v/>
      </c>
      <c r="G737">
        <f>IF($F737&gt;=20,"Critical",IF($F737&gt;=15,"High",IF($F737&gt;=10,"Medium",IF($F737&gt;=5,"Low",IF($F737&gt;0,"Very Low","")))))</f>
        <v/>
      </c>
      <c r="H737" s="5" t="n"/>
    </row>
    <row r="738">
      <c r="B738" s="6" t="n"/>
      <c r="F738">
        <f>D738*E738</f>
        <v/>
      </c>
      <c r="G738">
        <f>IF($F738&gt;=20,"Critical",IF($F738&gt;=15,"High",IF($F738&gt;=10,"Medium",IF($F738&gt;=5,"Low",IF($F738&gt;0,"Very Low","")))))</f>
        <v/>
      </c>
      <c r="H738" s="5" t="n"/>
    </row>
    <row r="739">
      <c r="B739" s="6" t="n"/>
      <c r="F739">
        <f>D739*E739</f>
        <v/>
      </c>
      <c r="G739">
        <f>IF($F739&gt;=20,"Critical",IF($F739&gt;=15,"High",IF($F739&gt;=10,"Medium",IF($F739&gt;=5,"Low",IF($F739&gt;0,"Very Low","")))))</f>
        <v/>
      </c>
      <c r="H739" s="5" t="n"/>
    </row>
    <row r="740">
      <c r="B740" s="6" t="n"/>
      <c r="F740">
        <f>D740*E740</f>
        <v/>
      </c>
      <c r="G740">
        <f>IF($F740&gt;=20,"Critical",IF($F740&gt;=15,"High",IF($F740&gt;=10,"Medium",IF($F740&gt;=5,"Low",IF($F740&gt;0,"Very Low","")))))</f>
        <v/>
      </c>
      <c r="H740" s="5" t="n"/>
    </row>
    <row r="741">
      <c r="B741" s="6" t="n"/>
      <c r="F741">
        <f>D741*E741</f>
        <v/>
      </c>
      <c r="G741">
        <f>IF($F741&gt;=20,"Critical",IF($F741&gt;=15,"High",IF($F741&gt;=10,"Medium",IF($F741&gt;=5,"Low",IF($F741&gt;0,"Very Low","")))))</f>
        <v/>
      </c>
      <c r="H741" s="5" t="n"/>
    </row>
    <row r="742">
      <c r="B742" s="6" t="n"/>
      <c r="F742">
        <f>D742*E742</f>
        <v/>
      </c>
      <c r="G742">
        <f>IF($F742&gt;=20,"Critical",IF($F742&gt;=15,"High",IF($F742&gt;=10,"Medium",IF($F742&gt;=5,"Low",IF($F742&gt;0,"Very Low","")))))</f>
        <v/>
      </c>
      <c r="H742" s="5" t="n"/>
    </row>
    <row r="743">
      <c r="B743" s="6" t="n"/>
      <c r="F743">
        <f>D743*E743</f>
        <v/>
      </c>
      <c r="G743">
        <f>IF($F743&gt;=20,"Critical",IF($F743&gt;=15,"High",IF($F743&gt;=10,"Medium",IF($F743&gt;=5,"Low",IF($F743&gt;0,"Very Low","")))))</f>
        <v/>
      </c>
      <c r="H743" s="5" t="n"/>
    </row>
    <row r="744">
      <c r="B744" s="6" t="n"/>
      <c r="F744">
        <f>D744*E744</f>
        <v/>
      </c>
      <c r="G744">
        <f>IF($F744&gt;=20,"Critical",IF($F744&gt;=15,"High",IF($F744&gt;=10,"Medium",IF($F744&gt;=5,"Low",IF($F744&gt;0,"Very Low","")))))</f>
        <v/>
      </c>
      <c r="H744" s="5" t="n"/>
    </row>
    <row r="745">
      <c r="B745" s="6" t="n"/>
      <c r="F745">
        <f>D745*E745</f>
        <v/>
      </c>
      <c r="G745">
        <f>IF($F745&gt;=20,"Critical",IF($F745&gt;=15,"High",IF($F745&gt;=10,"Medium",IF($F745&gt;=5,"Low",IF($F745&gt;0,"Very Low","")))))</f>
        <v/>
      </c>
      <c r="H745" s="5" t="n"/>
    </row>
    <row r="746">
      <c r="B746" s="6" t="n"/>
      <c r="F746">
        <f>D746*E746</f>
        <v/>
      </c>
      <c r="G746">
        <f>IF($F746&gt;=20,"Critical",IF($F746&gt;=15,"High",IF($F746&gt;=10,"Medium",IF($F746&gt;=5,"Low",IF($F746&gt;0,"Very Low","")))))</f>
        <v/>
      </c>
      <c r="H746" s="5" t="n"/>
    </row>
    <row r="747">
      <c r="B747" s="6" t="n"/>
      <c r="F747">
        <f>D747*E747</f>
        <v/>
      </c>
      <c r="G747">
        <f>IF($F747&gt;=20,"Critical",IF($F747&gt;=15,"High",IF($F747&gt;=10,"Medium",IF($F747&gt;=5,"Low",IF($F747&gt;0,"Very Low","")))))</f>
        <v/>
      </c>
      <c r="H747" s="5" t="n"/>
    </row>
    <row r="748">
      <c r="B748" s="6" t="n"/>
      <c r="F748">
        <f>D748*E748</f>
        <v/>
      </c>
      <c r="G748">
        <f>IF($F748&gt;=20,"Critical",IF($F748&gt;=15,"High",IF($F748&gt;=10,"Medium",IF($F748&gt;=5,"Low",IF($F748&gt;0,"Very Low","")))))</f>
        <v/>
      </c>
      <c r="H748" s="5" t="n"/>
    </row>
    <row r="749">
      <c r="B749" s="6" t="n"/>
      <c r="F749">
        <f>D749*E749</f>
        <v/>
      </c>
      <c r="G749">
        <f>IF($F749&gt;=20,"Critical",IF($F749&gt;=15,"High",IF($F749&gt;=10,"Medium",IF($F749&gt;=5,"Low",IF($F749&gt;0,"Very Low","")))))</f>
        <v/>
      </c>
      <c r="H749" s="5" t="n"/>
    </row>
    <row r="750">
      <c r="B750" s="6" t="n"/>
      <c r="F750">
        <f>D750*E750</f>
        <v/>
      </c>
      <c r="G750">
        <f>IF($F750&gt;=20,"Critical",IF($F750&gt;=15,"High",IF($F750&gt;=10,"Medium",IF($F750&gt;=5,"Low",IF($F750&gt;0,"Very Low","")))))</f>
        <v/>
      </c>
      <c r="H750" s="5" t="n"/>
    </row>
    <row r="751">
      <c r="B751" s="6" t="n"/>
      <c r="F751">
        <f>D751*E751</f>
        <v/>
      </c>
      <c r="G751">
        <f>IF($F751&gt;=20,"Critical",IF($F751&gt;=15,"High",IF($F751&gt;=10,"Medium",IF($F751&gt;=5,"Low",IF($F751&gt;0,"Very Low","")))))</f>
        <v/>
      </c>
      <c r="H751" s="5" t="n"/>
    </row>
    <row r="752">
      <c r="B752" s="6" t="n"/>
      <c r="F752">
        <f>D752*E752</f>
        <v/>
      </c>
      <c r="G752">
        <f>IF($F752&gt;=20,"Critical",IF($F752&gt;=15,"High",IF($F752&gt;=10,"Medium",IF($F752&gt;=5,"Low",IF($F752&gt;0,"Very Low","")))))</f>
        <v/>
      </c>
      <c r="H752" s="5" t="n"/>
    </row>
    <row r="753">
      <c r="B753" s="6" t="n"/>
      <c r="F753">
        <f>D753*E753</f>
        <v/>
      </c>
      <c r="G753">
        <f>IF($F753&gt;=20,"Critical",IF($F753&gt;=15,"High",IF($F753&gt;=10,"Medium",IF($F753&gt;=5,"Low",IF($F753&gt;0,"Very Low","")))))</f>
        <v/>
      </c>
      <c r="H753" s="5" t="n"/>
    </row>
    <row r="754">
      <c r="B754" s="6" t="n"/>
      <c r="F754">
        <f>D754*E754</f>
        <v/>
      </c>
      <c r="G754">
        <f>IF($F754&gt;=20,"Critical",IF($F754&gt;=15,"High",IF($F754&gt;=10,"Medium",IF($F754&gt;=5,"Low",IF($F754&gt;0,"Very Low","")))))</f>
        <v/>
      </c>
      <c r="H754" s="5" t="n"/>
    </row>
    <row r="755">
      <c r="B755" s="6" t="n"/>
      <c r="F755">
        <f>D755*E755</f>
        <v/>
      </c>
      <c r="G755">
        <f>IF($F755&gt;=20,"Critical",IF($F755&gt;=15,"High",IF($F755&gt;=10,"Medium",IF($F755&gt;=5,"Low",IF($F755&gt;0,"Very Low","")))))</f>
        <v/>
      </c>
      <c r="H755" s="5" t="n"/>
    </row>
    <row r="756">
      <c r="B756" s="6" t="n"/>
      <c r="F756">
        <f>D756*E756</f>
        <v/>
      </c>
      <c r="G756">
        <f>IF($F756&gt;=20,"Critical",IF($F756&gt;=15,"High",IF($F756&gt;=10,"Medium",IF($F756&gt;=5,"Low",IF($F756&gt;0,"Very Low","")))))</f>
        <v/>
      </c>
      <c r="H756" s="5" t="n"/>
    </row>
    <row r="757">
      <c r="B757" s="6" t="n"/>
      <c r="F757">
        <f>D757*E757</f>
        <v/>
      </c>
      <c r="G757">
        <f>IF($F757&gt;=20,"Critical",IF($F757&gt;=15,"High",IF($F757&gt;=10,"Medium",IF($F757&gt;=5,"Low",IF($F757&gt;0,"Very Low","")))))</f>
        <v/>
      </c>
      <c r="H757" s="5" t="n"/>
    </row>
    <row r="758">
      <c r="B758" s="6" t="n"/>
      <c r="F758">
        <f>D758*E758</f>
        <v/>
      </c>
      <c r="G758">
        <f>IF($F758&gt;=20,"Critical",IF($F758&gt;=15,"High",IF($F758&gt;=10,"Medium",IF($F758&gt;=5,"Low",IF($F758&gt;0,"Very Low","")))))</f>
        <v/>
      </c>
      <c r="H758" s="5" t="n"/>
    </row>
    <row r="759">
      <c r="B759" s="6" t="n"/>
      <c r="F759">
        <f>D759*E759</f>
        <v/>
      </c>
      <c r="G759">
        <f>IF($F759&gt;=20,"Critical",IF($F759&gt;=15,"High",IF($F759&gt;=10,"Medium",IF($F759&gt;=5,"Low",IF($F759&gt;0,"Very Low","")))))</f>
        <v/>
      </c>
      <c r="H759" s="5" t="n"/>
    </row>
    <row r="760">
      <c r="B760" s="6" t="n"/>
      <c r="F760">
        <f>D760*E760</f>
        <v/>
      </c>
      <c r="G760">
        <f>IF($F760&gt;=20,"Critical",IF($F760&gt;=15,"High",IF($F760&gt;=10,"Medium",IF($F760&gt;=5,"Low",IF($F760&gt;0,"Very Low","")))))</f>
        <v/>
      </c>
      <c r="H760" s="5" t="n"/>
    </row>
    <row r="761">
      <c r="B761" s="6" t="n"/>
      <c r="F761">
        <f>D761*E761</f>
        <v/>
      </c>
      <c r="G761">
        <f>IF($F761&gt;=20,"Critical",IF($F761&gt;=15,"High",IF($F761&gt;=10,"Medium",IF($F761&gt;=5,"Low",IF($F761&gt;0,"Very Low","")))))</f>
        <v/>
      </c>
      <c r="H761" s="5" t="n"/>
    </row>
    <row r="762">
      <c r="B762" s="6" t="n"/>
      <c r="F762">
        <f>D762*E762</f>
        <v/>
      </c>
      <c r="G762">
        <f>IF($F762&gt;=20,"Critical",IF($F762&gt;=15,"High",IF($F762&gt;=10,"Medium",IF($F762&gt;=5,"Low",IF($F762&gt;0,"Very Low","")))))</f>
        <v/>
      </c>
      <c r="H762" s="5" t="n"/>
    </row>
    <row r="763">
      <c r="B763" s="6" t="n"/>
      <c r="F763">
        <f>D763*E763</f>
        <v/>
      </c>
      <c r="G763">
        <f>IF($F763&gt;=20,"Critical",IF($F763&gt;=15,"High",IF($F763&gt;=10,"Medium",IF($F763&gt;=5,"Low",IF($F763&gt;0,"Very Low","")))))</f>
        <v/>
      </c>
      <c r="H763" s="5" t="n"/>
    </row>
    <row r="764">
      <c r="B764" s="6" t="n"/>
      <c r="F764">
        <f>D764*E764</f>
        <v/>
      </c>
      <c r="G764">
        <f>IF($F764&gt;=20,"Critical",IF($F764&gt;=15,"High",IF($F764&gt;=10,"Medium",IF($F764&gt;=5,"Low",IF($F764&gt;0,"Very Low","")))))</f>
        <v/>
      </c>
      <c r="H764" s="5" t="n"/>
    </row>
    <row r="765">
      <c r="B765" s="6" t="n"/>
      <c r="F765">
        <f>D765*E765</f>
        <v/>
      </c>
      <c r="G765">
        <f>IF($F765&gt;=20,"Critical",IF($F765&gt;=15,"High",IF($F765&gt;=10,"Medium",IF($F765&gt;=5,"Low",IF($F765&gt;0,"Very Low","")))))</f>
        <v/>
      </c>
      <c r="H765" s="5" t="n"/>
    </row>
    <row r="766">
      <c r="B766" s="6" t="n"/>
      <c r="F766">
        <f>D766*E766</f>
        <v/>
      </c>
      <c r="G766">
        <f>IF($F766&gt;=20,"Critical",IF($F766&gt;=15,"High",IF($F766&gt;=10,"Medium",IF($F766&gt;=5,"Low",IF($F766&gt;0,"Very Low","")))))</f>
        <v/>
      </c>
      <c r="H766" s="5" t="n"/>
    </row>
    <row r="767">
      <c r="B767" s="6" t="n"/>
      <c r="F767">
        <f>D767*E767</f>
        <v/>
      </c>
      <c r="G767">
        <f>IF($F767&gt;=20,"Critical",IF($F767&gt;=15,"High",IF($F767&gt;=10,"Medium",IF($F767&gt;=5,"Low",IF($F767&gt;0,"Very Low","")))))</f>
        <v/>
      </c>
      <c r="H767" s="5" t="n"/>
    </row>
    <row r="768">
      <c r="B768" s="6" t="n"/>
      <c r="F768">
        <f>D768*E768</f>
        <v/>
      </c>
      <c r="G768">
        <f>IF($F768&gt;=20,"Critical",IF($F768&gt;=15,"High",IF($F768&gt;=10,"Medium",IF($F768&gt;=5,"Low",IF($F768&gt;0,"Very Low","")))))</f>
        <v/>
      </c>
      <c r="H768" s="5" t="n"/>
    </row>
    <row r="769">
      <c r="B769" s="6" t="n"/>
      <c r="F769">
        <f>D769*E769</f>
        <v/>
      </c>
      <c r="G769">
        <f>IF($F769&gt;=20,"Critical",IF($F769&gt;=15,"High",IF($F769&gt;=10,"Medium",IF($F769&gt;=5,"Low",IF($F769&gt;0,"Very Low","")))))</f>
        <v/>
      </c>
      <c r="H769" s="5" t="n"/>
    </row>
    <row r="770">
      <c r="B770" s="6" t="n"/>
      <c r="F770">
        <f>D770*E770</f>
        <v/>
      </c>
      <c r="G770">
        <f>IF($F770&gt;=20,"Critical",IF($F770&gt;=15,"High",IF($F770&gt;=10,"Medium",IF($F770&gt;=5,"Low",IF($F770&gt;0,"Very Low","")))))</f>
        <v/>
      </c>
      <c r="H770" s="5" t="n"/>
    </row>
    <row r="771">
      <c r="B771" s="6" t="n"/>
      <c r="F771">
        <f>D771*E771</f>
        <v/>
      </c>
      <c r="G771">
        <f>IF($F771&gt;=20,"Critical",IF($F771&gt;=15,"High",IF($F771&gt;=10,"Medium",IF($F771&gt;=5,"Low",IF($F771&gt;0,"Very Low","")))))</f>
        <v/>
      </c>
      <c r="H771" s="5" t="n"/>
    </row>
    <row r="772">
      <c r="B772" s="6" t="n"/>
      <c r="F772">
        <f>D772*E772</f>
        <v/>
      </c>
      <c r="G772">
        <f>IF($F772&gt;=20,"Critical",IF($F772&gt;=15,"High",IF($F772&gt;=10,"Medium",IF($F772&gt;=5,"Low",IF($F772&gt;0,"Very Low","")))))</f>
        <v/>
      </c>
      <c r="H772" s="5" t="n"/>
    </row>
    <row r="773">
      <c r="B773" s="6" t="n"/>
      <c r="F773">
        <f>D773*E773</f>
        <v/>
      </c>
      <c r="G773">
        <f>IF($F773&gt;=20,"Critical",IF($F773&gt;=15,"High",IF($F773&gt;=10,"Medium",IF($F773&gt;=5,"Low",IF($F773&gt;0,"Very Low","")))))</f>
        <v/>
      </c>
      <c r="H773" s="5" t="n"/>
    </row>
    <row r="774">
      <c r="B774" s="6" t="n"/>
      <c r="F774">
        <f>D774*E774</f>
        <v/>
      </c>
      <c r="G774">
        <f>IF($F774&gt;=20,"Critical",IF($F774&gt;=15,"High",IF($F774&gt;=10,"Medium",IF($F774&gt;=5,"Low",IF($F774&gt;0,"Very Low","")))))</f>
        <v/>
      </c>
      <c r="H774" s="5" t="n"/>
    </row>
    <row r="775">
      <c r="B775" s="6" t="n"/>
      <c r="F775">
        <f>D775*E775</f>
        <v/>
      </c>
      <c r="G775">
        <f>IF($F775&gt;=20,"Critical",IF($F775&gt;=15,"High",IF($F775&gt;=10,"Medium",IF($F775&gt;=5,"Low",IF($F775&gt;0,"Very Low","")))))</f>
        <v/>
      </c>
      <c r="H775" s="5" t="n"/>
    </row>
    <row r="776">
      <c r="B776" s="6" t="n"/>
      <c r="F776">
        <f>D776*E776</f>
        <v/>
      </c>
      <c r="G776">
        <f>IF($F776&gt;=20,"Critical",IF($F776&gt;=15,"High",IF($F776&gt;=10,"Medium",IF($F776&gt;=5,"Low",IF($F776&gt;0,"Very Low","")))))</f>
        <v/>
      </c>
      <c r="H776" s="5" t="n"/>
    </row>
    <row r="777">
      <c r="B777" s="6" t="n"/>
      <c r="F777">
        <f>D777*E777</f>
        <v/>
      </c>
      <c r="G777">
        <f>IF($F777&gt;=20,"Critical",IF($F777&gt;=15,"High",IF($F777&gt;=10,"Medium",IF($F777&gt;=5,"Low",IF($F777&gt;0,"Very Low","")))))</f>
        <v/>
      </c>
      <c r="H777" s="5" t="n"/>
    </row>
    <row r="778">
      <c r="B778" s="6" t="n"/>
      <c r="F778">
        <f>D778*E778</f>
        <v/>
      </c>
      <c r="G778">
        <f>IF($F778&gt;=20,"Critical",IF($F778&gt;=15,"High",IF($F778&gt;=10,"Medium",IF($F778&gt;=5,"Low",IF($F778&gt;0,"Very Low","")))))</f>
        <v/>
      </c>
      <c r="H778" s="5" t="n"/>
    </row>
    <row r="779">
      <c r="B779" s="6" t="n"/>
      <c r="F779">
        <f>D779*E779</f>
        <v/>
      </c>
      <c r="G779">
        <f>IF($F779&gt;=20,"Critical",IF($F779&gt;=15,"High",IF($F779&gt;=10,"Medium",IF($F779&gt;=5,"Low",IF($F779&gt;0,"Very Low","")))))</f>
        <v/>
      </c>
      <c r="H779" s="5" t="n"/>
    </row>
    <row r="780">
      <c r="B780" s="6" t="n"/>
      <c r="F780">
        <f>D780*E780</f>
        <v/>
      </c>
      <c r="G780">
        <f>IF($F780&gt;=20,"Critical",IF($F780&gt;=15,"High",IF($F780&gt;=10,"Medium",IF($F780&gt;=5,"Low",IF($F780&gt;0,"Very Low","")))))</f>
        <v/>
      </c>
      <c r="H780" s="5" t="n"/>
    </row>
    <row r="781">
      <c r="B781" s="6" t="n"/>
      <c r="F781">
        <f>D781*E781</f>
        <v/>
      </c>
      <c r="G781">
        <f>IF($F781&gt;=20,"Critical",IF($F781&gt;=15,"High",IF($F781&gt;=10,"Medium",IF($F781&gt;=5,"Low",IF($F781&gt;0,"Very Low","")))))</f>
        <v/>
      </c>
      <c r="H781" s="5" t="n"/>
    </row>
    <row r="782">
      <c r="B782" s="6" t="n"/>
      <c r="F782">
        <f>D782*E782</f>
        <v/>
      </c>
      <c r="G782">
        <f>IF($F782&gt;=20,"Critical",IF($F782&gt;=15,"High",IF($F782&gt;=10,"Medium",IF($F782&gt;=5,"Low",IF($F782&gt;0,"Very Low","")))))</f>
        <v/>
      </c>
      <c r="H782" s="5" t="n"/>
    </row>
    <row r="783">
      <c r="B783" s="6" t="n"/>
      <c r="F783">
        <f>D783*E783</f>
        <v/>
      </c>
      <c r="G783">
        <f>IF($F783&gt;=20,"Critical",IF($F783&gt;=15,"High",IF($F783&gt;=10,"Medium",IF($F783&gt;=5,"Low",IF($F783&gt;0,"Very Low","")))))</f>
        <v/>
      </c>
      <c r="H783" s="5" t="n"/>
    </row>
    <row r="784">
      <c r="B784" s="6" t="n"/>
      <c r="F784">
        <f>D784*E784</f>
        <v/>
      </c>
      <c r="G784">
        <f>IF($F784&gt;=20,"Critical",IF($F784&gt;=15,"High",IF($F784&gt;=10,"Medium",IF($F784&gt;=5,"Low",IF($F784&gt;0,"Very Low","")))))</f>
        <v/>
      </c>
      <c r="H784" s="5" t="n"/>
    </row>
    <row r="785">
      <c r="B785" s="6" t="n"/>
      <c r="F785">
        <f>D785*E785</f>
        <v/>
      </c>
      <c r="G785">
        <f>IF($F785&gt;=20,"Critical",IF($F785&gt;=15,"High",IF($F785&gt;=10,"Medium",IF($F785&gt;=5,"Low",IF($F785&gt;0,"Very Low","")))))</f>
        <v/>
      </c>
      <c r="H785" s="5" t="n"/>
    </row>
    <row r="786">
      <c r="B786" s="6" t="n"/>
      <c r="F786">
        <f>D786*E786</f>
        <v/>
      </c>
      <c r="G786">
        <f>IF($F786&gt;=20,"Critical",IF($F786&gt;=15,"High",IF($F786&gt;=10,"Medium",IF($F786&gt;=5,"Low",IF($F786&gt;0,"Very Low","")))))</f>
        <v/>
      </c>
      <c r="H786" s="5" t="n"/>
    </row>
    <row r="787">
      <c r="B787" s="6" t="n"/>
      <c r="F787">
        <f>D787*E787</f>
        <v/>
      </c>
      <c r="G787">
        <f>IF($F787&gt;=20,"Critical",IF($F787&gt;=15,"High",IF($F787&gt;=10,"Medium",IF($F787&gt;=5,"Low",IF($F787&gt;0,"Very Low","")))))</f>
        <v/>
      </c>
      <c r="H787" s="5" t="n"/>
    </row>
    <row r="788">
      <c r="B788" s="6" t="n"/>
      <c r="F788">
        <f>D788*E788</f>
        <v/>
      </c>
      <c r="G788">
        <f>IF($F788&gt;=20,"Critical",IF($F788&gt;=15,"High",IF($F788&gt;=10,"Medium",IF($F788&gt;=5,"Low",IF($F788&gt;0,"Very Low","")))))</f>
        <v/>
      </c>
      <c r="H788" s="5" t="n"/>
    </row>
    <row r="789">
      <c r="B789" s="6" t="n"/>
      <c r="F789">
        <f>D789*E789</f>
        <v/>
      </c>
      <c r="G789">
        <f>IF($F789&gt;=20,"Critical",IF($F789&gt;=15,"High",IF($F789&gt;=10,"Medium",IF($F789&gt;=5,"Low",IF($F789&gt;0,"Very Low","")))))</f>
        <v/>
      </c>
      <c r="H789" s="5" t="n"/>
    </row>
    <row r="790">
      <c r="B790" s="6" t="n"/>
      <c r="F790">
        <f>D790*E790</f>
        <v/>
      </c>
      <c r="G790">
        <f>IF($F790&gt;=20,"Critical",IF($F790&gt;=15,"High",IF($F790&gt;=10,"Medium",IF($F790&gt;=5,"Low",IF($F790&gt;0,"Very Low","")))))</f>
        <v/>
      </c>
      <c r="H790" s="5" t="n"/>
    </row>
    <row r="791">
      <c r="B791" s="6" t="n"/>
      <c r="F791">
        <f>D791*E791</f>
        <v/>
      </c>
      <c r="G791">
        <f>IF($F791&gt;=20,"Critical",IF($F791&gt;=15,"High",IF($F791&gt;=10,"Medium",IF($F791&gt;=5,"Low",IF($F791&gt;0,"Very Low","")))))</f>
        <v/>
      </c>
      <c r="H791" s="5" t="n"/>
    </row>
    <row r="792">
      <c r="B792" s="6" t="n"/>
      <c r="F792">
        <f>D792*E792</f>
        <v/>
      </c>
      <c r="G792">
        <f>IF($F792&gt;=20,"Critical",IF($F792&gt;=15,"High",IF($F792&gt;=10,"Medium",IF($F792&gt;=5,"Low",IF($F792&gt;0,"Very Low","")))))</f>
        <v/>
      </c>
      <c r="H792" s="5" t="n"/>
    </row>
    <row r="793">
      <c r="B793" s="6" t="n"/>
      <c r="F793">
        <f>D793*E793</f>
        <v/>
      </c>
      <c r="G793">
        <f>IF($F793&gt;=20,"Critical",IF($F793&gt;=15,"High",IF($F793&gt;=10,"Medium",IF($F793&gt;=5,"Low",IF($F793&gt;0,"Very Low","")))))</f>
        <v/>
      </c>
      <c r="H793" s="5" t="n"/>
    </row>
    <row r="794">
      <c r="B794" s="6" t="n"/>
      <c r="F794">
        <f>D794*E794</f>
        <v/>
      </c>
      <c r="G794">
        <f>IF($F794&gt;=20,"Critical",IF($F794&gt;=15,"High",IF($F794&gt;=10,"Medium",IF($F794&gt;=5,"Low",IF($F794&gt;0,"Very Low","")))))</f>
        <v/>
      </c>
      <c r="H794" s="5" t="n"/>
    </row>
    <row r="795">
      <c r="B795" s="6" t="n"/>
      <c r="F795">
        <f>D795*E795</f>
        <v/>
      </c>
      <c r="G795">
        <f>IF($F795&gt;=20,"Critical",IF($F795&gt;=15,"High",IF($F795&gt;=10,"Medium",IF($F795&gt;=5,"Low",IF($F795&gt;0,"Very Low","")))))</f>
        <v/>
      </c>
      <c r="H795" s="5" t="n"/>
    </row>
    <row r="796">
      <c r="B796" s="6" t="n"/>
      <c r="F796">
        <f>D796*E796</f>
        <v/>
      </c>
      <c r="G796">
        <f>IF($F796&gt;=20,"Critical",IF($F796&gt;=15,"High",IF($F796&gt;=10,"Medium",IF($F796&gt;=5,"Low",IF($F796&gt;0,"Very Low","")))))</f>
        <v/>
      </c>
      <c r="H796" s="5" t="n"/>
    </row>
    <row r="797">
      <c r="B797" s="6" t="n"/>
      <c r="F797">
        <f>D797*E797</f>
        <v/>
      </c>
      <c r="G797">
        <f>IF($F797&gt;=20,"Critical",IF($F797&gt;=15,"High",IF($F797&gt;=10,"Medium",IF($F797&gt;=5,"Low",IF($F797&gt;0,"Very Low","")))))</f>
        <v/>
      </c>
      <c r="H797" s="5" t="n"/>
    </row>
    <row r="798">
      <c r="B798" s="6" t="n"/>
      <c r="F798">
        <f>D798*E798</f>
        <v/>
      </c>
      <c r="G798">
        <f>IF($F798&gt;=20,"Critical",IF($F798&gt;=15,"High",IF($F798&gt;=10,"Medium",IF($F798&gt;=5,"Low",IF($F798&gt;0,"Very Low","")))))</f>
        <v/>
      </c>
      <c r="H798" s="5" t="n"/>
    </row>
    <row r="799">
      <c r="B799" s="6" t="n"/>
      <c r="F799">
        <f>D799*E799</f>
        <v/>
      </c>
      <c r="G799">
        <f>IF($F799&gt;=20,"Critical",IF($F799&gt;=15,"High",IF($F799&gt;=10,"Medium",IF($F799&gt;=5,"Low",IF($F799&gt;0,"Very Low","")))))</f>
        <v/>
      </c>
      <c r="H799" s="5" t="n"/>
    </row>
    <row r="800">
      <c r="B800" s="6" t="n"/>
      <c r="F800">
        <f>D800*E800</f>
        <v/>
      </c>
      <c r="G800">
        <f>IF($F800&gt;=20,"Critical",IF($F800&gt;=15,"High",IF($F800&gt;=10,"Medium",IF($F800&gt;=5,"Low",IF($F800&gt;0,"Very Low","")))))</f>
        <v/>
      </c>
      <c r="H800" s="5" t="n"/>
    </row>
    <row r="801">
      <c r="B801" s="6" t="n"/>
      <c r="F801">
        <f>D801*E801</f>
        <v/>
      </c>
      <c r="G801">
        <f>IF($F801&gt;=20,"Critical",IF($F801&gt;=15,"High",IF($F801&gt;=10,"Medium",IF($F801&gt;=5,"Low",IF($F801&gt;0,"Very Low","")))))</f>
        <v/>
      </c>
      <c r="H801" s="5" t="n"/>
    </row>
    <row r="802">
      <c r="B802" s="6" t="n"/>
      <c r="F802">
        <f>D802*E802</f>
        <v/>
      </c>
      <c r="G802">
        <f>IF($F802&gt;=20,"Critical",IF($F802&gt;=15,"High",IF($F802&gt;=10,"Medium",IF($F802&gt;=5,"Low",IF($F802&gt;0,"Very Low","")))))</f>
        <v/>
      </c>
      <c r="H802" s="5" t="n"/>
    </row>
    <row r="803">
      <c r="B803" s="6" t="n"/>
      <c r="F803">
        <f>D803*E803</f>
        <v/>
      </c>
      <c r="G803">
        <f>IF($F803&gt;=20,"Critical",IF($F803&gt;=15,"High",IF($F803&gt;=10,"Medium",IF($F803&gt;=5,"Low",IF($F803&gt;0,"Very Low","")))))</f>
        <v/>
      </c>
      <c r="H803" s="5" t="n"/>
    </row>
    <row r="804">
      <c r="B804" s="6" t="n"/>
      <c r="F804">
        <f>D804*E804</f>
        <v/>
      </c>
      <c r="G804">
        <f>IF($F804&gt;=20,"Critical",IF($F804&gt;=15,"High",IF($F804&gt;=10,"Medium",IF($F804&gt;=5,"Low",IF($F804&gt;0,"Very Low","")))))</f>
        <v/>
      </c>
      <c r="H804" s="5" t="n"/>
    </row>
    <row r="805">
      <c r="B805" s="6" t="n"/>
      <c r="F805">
        <f>D805*E805</f>
        <v/>
      </c>
      <c r="G805">
        <f>IF($F805&gt;=20,"Critical",IF($F805&gt;=15,"High",IF($F805&gt;=10,"Medium",IF($F805&gt;=5,"Low",IF($F805&gt;0,"Very Low","")))))</f>
        <v/>
      </c>
      <c r="H805" s="5" t="n"/>
    </row>
    <row r="806">
      <c r="B806" s="6" t="n"/>
      <c r="F806">
        <f>D806*E806</f>
        <v/>
      </c>
      <c r="G806">
        <f>IF($F806&gt;=20,"Critical",IF($F806&gt;=15,"High",IF($F806&gt;=10,"Medium",IF($F806&gt;=5,"Low",IF($F806&gt;0,"Very Low","")))))</f>
        <v/>
      </c>
      <c r="H806" s="5" t="n"/>
    </row>
    <row r="807">
      <c r="B807" s="6" t="n"/>
      <c r="F807">
        <f>D807*E807</f>
        <v/>
      </c>
      <c r="G807">
        <f>IF($F807&gt;=20,"Critical",IF($F807&gt;=15,"High",IF($F807&gt;=10,"Medium",IF($F807&gt;=5,"Low",IF($F807&gt;0,"Very Low","")))))</f>
        <v/>
      </c>
      <c r="H807" s="5" t="n"/>
    </row>
    <row r="808">
      <c r="B808" s="6" t="n"/>
      <c r="F808">
        <f>D808*E808</f>
        <v/>
      </c>
      <c r="G808">
        <f>IF($F808&gt;=20,"Critical",IF($F808&gt;=15,"High",IF($F808&gt;=10,"Medium",IF($F808&gt;=5,"Low",IF($F808&gt;0,"Very Low","")))))</f>
        <v/>
      </c>
      <c r="H808" s="5" t="n"/>
    </row>
    <row r="809">
      <c r="B809" s="6" t="n"/>
      <c r="F809">
        <f>D809*E809</f>
        <v/>
      </c>
      <c r="G809">
        <f>IF($F809&gt;=20,"Critical",IF($F809&gt;=15,"High",IF($F809&gt;=10,"Medium",IF($F809&gt;=5,"Low",IF($F809&gt;0,"Very Low","")))))</f>
        <v/>
      </c>
      <c r="H809" s="5" t="n"/>
    </row>
    <row r="810">
      <c r="B810" s="6" t="n"/>
      <c r="F810">
        <f>D810*E810</f>
        <v/>
      </c>
      <c r="G810">
        <f>IF($F810&gt;=20,"Critical",IF($F810&gt;=15,"High",IF($F810&gt;=10,"Medium",IF($F810&gt;=5,"Low",IF($F810&gt;0,"Very Low","")))))</f>
        <v/>
      </c>
      <c r="H810" s="5" t="n"/>
    </row>
    <row r="811">
      <c r="B811" s="6" t="n"/>
      <c r="F811">
        <f>D811*E811</f>
        <v/>
      </c>
      <c r="G811">
        <f>IF($F811&gt;=20,"Critical",IF($F811&gt;=15,"High",IF($F811&gt;=10,"Medium",IF($F811&gt;=5,"Low",IF($F811&gt;0,"Very Low","")))))</f>
        <v/>
      </c>
      <c r="H811" s="5" t="n"/>
    </row>
    <row r="812">
      <c r="B812" s="6" t="n"/>
      <c r="F812">
        <f>D812*E812</f>
        <v/>
      </c>
      <c r="G812">
        <f>IF($F812&gt;=20,"Critical",IF($F812&gt;=15,"High",IF($F812&gt;=10,"Medium",IF($F812&gt;=5,"Low",IF($F812&gt;0,"Very Low","")))))</f>
        <v/>
      </c>
      <c r="H812" s="5" t="n"/>
    </row>
    <row r="813">
      <c r="B813" s="6" t="n"/>
      <c r="F813">
        <f>D813*E813</f>
        <v/>
      </c>
      <c r="G813">
        <f>IF($F813&gt;=20,"Critical",IF($F813&gt;=15,"High",IF($F813&gt;=10,"Medium",IF($F813&gt;=5,"Low",IF($F813&gt;0,"Very Low","")))))</f>
        <v/>
      </c>
      <c r="H813" s="5" t="n"/>
    </row>
    <row r="814">
      <c r="B814" s="6" t="n"/>
      <c r="F814">
        <f>D814*E814</f>
        <v/>
      </c>
      <c r="G814">
        <f>IF($F814&gt;=20,"Critical",IF($F814&gt;=15,"High",IF($F814&gt;=10,"Medium",IF($F814&gt;=5,"Low",IF($F814&gt;0,"Very Low","")))))</f>
        <v/>
      </c>
      <c r="H814" s="5" t="n"/>
    </row>
    <row r="815">
      <c r="B815" s="6" t="n"/>
      <c r="F815">
        <f>D815*E815</f>
        <v/>
      </c>
      <c r="G815">
        <f>IF($F815&gt;=20,"Critical",IF($F815&gt;=15,"High",IF($F815&gt;=10,"Medium",IF($F815&gt;=5,"Low",IF($F815&gt;0,"Very Low","")))))</f>
        <v/>
      </c>
      <c r="H815" s="5" t="n"/>
    </row>
    <row r="816">
      <c r="B816" s="6" t="n"/>
      <c r="F816">
        <f>D816*E816</f>
        <v/>
      </c>
      <c r="G816">
        <f>IF($F816&gt;=20,"Critical",IF($F816&gt;=15,"High",IF($F816&gt;=10,"Medium",IF($F816&gt;=5,"Low",IF($F816&gt;0,"Very Low","")))))</f>
        <v/>
      </c>
      <c r="H816" s="5" t="n"/>
    </row>
    <row r="817">
      <c r="B817" s="6" t="n"/>
      <c r="F817">
        <f>D817*E817</f>
        <v/>
      </c>
      <c r="G817">
        <f>IF($F817&gt;=20,"Critical",IF($F817&gt;=15,"High",IF($F817&gt;=10,"Medium",IF($F817&gt;=5,"Low",IF($F817&gt;0,"Very Low","")))))</f>
        <v/>
      </c>
      <c r="H817" s="5" t="n"/>
    </row>
    <row r="818">
      <c r="B818" s="6" t="n"/>
      <c r="F818">
        <f>D818*E818</f>
        <v/>
      </c>
      <c r="G818">
        <f>IF($F818&gt;=20,"Critical",IF($F818&gt;=15,"High",IF($F818&gt;=10,"Medium",IF($F818&gt;=5,"Low",IF($F818&gt;0,"Very Low","")))))</f>
        <v/>
      </c>
      <c r="H818" s="5" t="n"/>
    </row>
    <row r="819">
      <c r="B819" s="6" t="n"/>
      <c r="F819">
        <f>D819*E819</f>
        <v/>
      </c>
      <c r="G819">
        <f>IF($F819&gt;=20,"Critical",IF($F819&gt;=15,"High",IF($F819&gt;=10,"Medium",IF($F819&gt;=5,"Low",IF($F819&gt;0,"Very Low","")))))</f>
        <v/>
      </c>
      <c r="H819" s="5" t="n"/>
    </row>
    <row r="820">
      <c r="B820" s="6" t="n"/>
      <c r="F820">
        <f>D820*E820</f>
        <v/>
      </c>
      <c r="G820">
        <f>IF($F820&gt;=20,"Critical",IF($F820&gt;=15,"High",IF($F820&gt;=10,"Medium",IF($F820&gt;=5,"Low",IF($F820&gt;0,"Very Low","")))))</f>
        <v/>
      </c>
      <c r="H820" s="5" t="n"/>
    </row>
    <row r="821">
      <c r="B821" s="6" t="n"/>
      <c r="F821">
        <f>D821*E821</f>
        <v/>
      </c>
      <c r="G821">
        <f>IF($F821&gt;=20,"Critical",IF($F821&gt;=15,"High",IF($F821&gt;=10,"Medium",IF($F821&gt;=5,"Low",IF($F821&gt;0,"Very Low","")))))</f>
        <v/>
      </c>
      <c r="H821" s="5" t="n"/>
    </row>
    <row r="822">
      <c r="B822" s="6" t="n"/>
      <c r="F822">
        <f>D822*E822</f>
        <v/>
      </c>
      <c r="G822">
        <f>IF($F822&gt;=20,"Critical",IF($F822&gt;=15,"High",IF($F822&gt;=10,"Medium",IF($F822&gt;=5,"Low",IF($F822&gt;0,"Very Low","")))))</f>
        <v/>
      </c>
      <c r="H822" s="5" t="n"/>
    </row>
    <row r="823">
      <c r="B823" s="6" t="n"/>
      <c r="F823">
        <f>D823*E823</f>
        <v/>
      </c>
      <c r="G823">
        <f>IF($F823&gt;=20,"Critical",IF($F823&gt;=15,"High",IF($F823&gt;=10,"Medium",IF($F823&gt;=5,"Low",IF($F823&gt;0,"Very Low","")))))</f>
        <v/>
      </c>
      <c r="H823" s="5" t="n"/>
    </row>
    <row r="824">
      <c r="B824" s="6" t="n"/>
      <c r="F824">
        <f>D824*E824</f>
        <v/>
      </c>
      <c r="G824">
        <f>IF($F824&gt;=20,"Critical",IF($F824&gt;=15,"High",IF($F824&gt;=10,"Medium",IF($F824&gt;=5,"Low",IF($F824&gt;0,"Very Low","")))))</f>
        <v/>
      </c>
      <c r="H824" s="5" t="n"/>
    </row>
    <row r="825">
      <c r="B825" s="6" t="n"/>
      <c r="F825">
        <f>D825*E825</f>
        <v/>
      </c>
      <c r="G825">
        <f>IF($F825&gt;=20,"Critical",IF($F825&gt;=15,"High",IF($F825&gt;=10,"Medium",IF($F825&gt;=5,"Low",IF($F825&gt;0,"Very Low","")))))</f>
        <v/>
      </c>
      <c r="H825" s="5" t="n"/>
    </row>
    <row r="826">
      <c r="B826" s="6" t="n"/>
      <c r="F826">
        <f>D826*E826</f>
        <v/>
      </c>
      <c r="G826">
        <f>IF($F826&gt;=20,"Critical",IF($F826&gt;=15,"High",IF($F826&gt;=10,"Medium",IF($F826&gt;=5,"Low",IF($F826&gt;0,"Very Low","")))))</f>
        <v/>
      </c>
      <c r="H826" s="5" t="n"/>
    </row>
    <row r="827">
      <c r="B827" s="6" t="n"/>
      <c r="F827">
        <f>D827*E827</f>
        <v/>
      </c>
      <c r="G827">
        <f>IF($F827&gt;=20,"Critical",IF($F827&gt;=15,"High",IF($F827&gt;=10,"Medium",IF($F827&gt;=5,"Low",IF($F827&gt;0,"Very Low","")))))</f>
        <v/>
      </c>
      <c r="H827" s="5" t="n"/>
    </row>
    <row r="828">
      <c r="B828" s="6" t="n"/>
      <c r="F828">
        <f>D828*E828</f>
        <v/>
      </c>
      <c r="G828">
        <f>IF($F828&gt;=20,"Critical",IF($F828&gt;=15,"High",IF($F828&gt;=10,"Medium",IF($F828&gt;=5,"Low",IF($F828&gt;0,"Very Low","")))))</f>
        <v/>
      </c>
      <c r="H828" s="5" t="n"/>
    </row>
    <row r="829">
      <c r="B829" s="6" t="n"/>
      <c r="F829">
        <f>D829*E829</f>
        <v/>
      </c>
      <c r="G829">
        <f>IF($F829&gt;=20,"Critical",IF($F829&gt;=15,"High",IF($F829&gt;=10,"Medium",IF($F829&gt;=5,"Low",IF($F829&gt;0,"Very Low","")))))</f>
        <v/>
      </c>
      <c r="H829" s="5" t="n"/>
    </row>
    <row r="830">
      <c r="B830" s="6" t="n"/>
      <c r="F830">
        <f>D830*E830</f>
        <v/>
      </c>
      <c r="G830">
        <f>IF($F830&gt;=20,"Critical",IF($F830&gt;=15,"High",IF($F830&gt;=10,"Medium",IF($F830&gt;=5,"Low",IF($F830&gt;0,"Very Low","")))))</f>
        <v/>
      </c>
      <c r="H830" s="5" t="n"/>
    </row>
    <row r="831">
      <c r="B831" s="6" t="n"/>
      <c r="F831">
        <f>D831*E831</f>
        <v/>
      </c>
      <c r="G831">
        <f>IF($F831&gt;=20,"Critical",IF($F831&gt;=15,"High",IF($F831&gt;=10,"Medium",IF($F831&gt;=5,"Low",IF($F831&gt;0,"Very Low","")))))</f>
        <v/>
      </c>
      <c r="H831" s="5" t="n"/>
    </row>
    <row r="832">
      <c r="B832" s="6" t="n"/>
      <c r="F832">
        <f>D832*E832</f>
        <v/>
      </c>
      <c r="G832">
        <f>IF($F832&gt;=20,"Critical",IF($F832&gt;=15,"High",IF($F832&gt;=10,"Medium",IF($F832&gt;=5,"Low",IF($F832&gt;0,"Very Low","")))))</f>
        <v/>
      </c>
      <c r="H832" s="5" t="n"/>
    </row>
    <row r="833">
      <c r="B833" s="6" t="n"/>
      <c r="F833">
        <f>D833*E833</f>
        <v/>
      </c>
      <c r="G833">
        <f>IF($F833&gt;=20,"Critical",IF($F833&gt;=15,"High",IF($F833&gt;=10,"Medium",IF($F833&gt;=5,"Low",IF($F833&gt;0,"Very Low","")))))</f>
        <v/>
      </c>
      <c r="H833" s="5" t="n"/>
    </row>
    <row r="834">
      <c r="B834" s="6" t="n"/>
      <c r="F834">
        <f>D834*E834</f>
        <v/>
      </c>
      <c r="G834">
        <f>IF($F834&gt;=20,"Critical",IF($F834&gt;=15,"High",IF($F834&gt;=10,"Medium",IF($F834&gt;=5,"Low",IF($F834&gt;0,"Very Low","")))))</f>
        <v/>
      </c>
      <c r="H834" s="5" t="n"/>
    </row>
    <row r="835">
      <c r="B835" s="6" t="n"/>
      <c r="F835">
        <f>D835*E835</f>
        <v/>
      </c>
      <c r="G835">
        <f>IF($F835&gt;=20,"Critical",IF($F835&gt;=15,"High",IF($F835&gt;=10,"Medium",IF($F835&gt;=5,"Low",IF($F835&gt;0,"Very Low","")))))</f>
        <v/>
      </c>
      <c r="H835" s="5" t="n"/>
    </row>
    <row r="836">
      <c r="B836" s="6" t="n"/>
      <c r="F836">
        <f>D836*E836</f>
        <v/>
      </c>
      <c r="G836">
        <f>IF($F836&gt;=20,"Critical",IF($F836&gt;=15,"High",IF($F836&gt;=10,"Medium",IF($F836&gt;=5,"Low",IF($F836&gt;0,"Very Low","")))))</f>
        <v/>
      </c>
      <c r="H836" s="5" t="n"/>
    </row>
    <row r="837">
      <c r="B837" s="6" t="n"/>
      <c r="F837">
        <f>D837*E837</f>
        <v/>
      </c>
      <c r="G837">
        <f>IF($F837&gt;=20,"Critical",IF($F837&gt;=15,"High",IF($F837&gt;=10,"Medium",IF($F837&gt;=5,"Low",IF($F837&gt;0,"Very Low","")))))</f>
        <v/>
      </c>
      <c r="H837" s="5" t="n"/>
    </row>
    <row r="838">
      <c r="B838" s="6" t="n"/>
      <c r="F838">
        <f>D838*E838</f>
        <v/>
      </c>
      <c r="G838">
        <f>IF($F838&gt;=20,"Critical",IF($F838&gt;=15,"High",IF($F838&gt;=10,"Medium",IF($F838&gt;=5,"Low",IF($F838&gt;0,"Very Low","")))))</f>
        <v/>
      </c>
      <c r="H838" s="5" t="n"/>
    </row>
    <row r="839">
      <c r="B839" s="6" t="n"/>
      <c r="F839">
        <f>D839*E839</f>
        <v/>
      </c>
      <c r="G839">
        <f>IF($F839&gt;=20,"Critical",IF($F839&gt;=15,"High",IF($F839&gt;=10,"Medium",IF($F839&gt;=5,"Low",IF($F839&gt;0,"Very Low","")))))</f>
        <v/>
      </c>
      <c r="H839" s="5" t="n"/>
    </row>
    <row r="840">
      <c r="B840" s="6" t="n"/>
      <c r="F840">
        <f>D840*E840</f>
        <v/>
      </c>
      <c r="G840">
        <f>IF($F840&gt;=20,"Critical",IF($F840&gt;=15,"High",IF($F840&gt;=10,"Medium",IF($F840&gt;=5,"Low",IF($F840&gt;0,"Very Low","")))))</f>
        <v/>
      </c>
      <c r="H840" s="5" t="n"/>
    </row>
    <row r="841">
      <c r="B841" s="6" t="n"/>
      <c r="F841">
        <f>D841*E841</f>
        <v/>
      </c>
      <c r="G841">
        <f>IF($F841&gt;=20,"Critical",IF($F841&gt;=15,"High",IF($F841&gt;=10,"Medium",IF($F841&gt;=5,"Low",IF($F841&gt;0,"Very Low","")))))</f>
        <v/>
      </c>
      <c r="H841" s="5" t="n"/>
    </row>
    <row r="842">
      <c r="B842" s="6" t="n"/>
      <c r="F842">
        <f>D842*E842</f>
        <v/>
      </c>
      <c r="G842">
        <f>IF($F842&gt;=20,"Critical",IF($F842&gt;=15,"High",IF($F842&gt;=10,"Medium",IF($F842&gt;=5,"Low",IF($F842&gt;0,"Very Low","")))))</f>
        <v/>
      </c>
      <c r="H842" s="5" t="n"/>
    </row>
    <row r="843">
      <c r="B843" s="6" t="n"/>
      <c r="F843">
        <f>D843*E843</f>
        <v/>
      </c>
      <c r="G843">
        <f>IF($F843&gt;=20,"Critical",IF($F843&gt;=15,"High",IF($F843&gt;=10,"Medium",IF($F843&gt;=5,"Low",IF($F843&gt;0,"Very Low","")))))</f>
        <v/>
      </c>
      <c r="H843" s="5" t="n"/>
    </row>
    <row r="844">
      <c r="B844" s="6" t="n"/>
      <c r="F844">
        <f>D844*E844</f>
        <v/>
      </c>
      <c r="G844">
        <f>IF($F844&gt;=20,"Critical",IF($F844&gt;=15,"High",IF($F844&gt;=10,"Medium",IF($F844&gt;=5,"Low",IF($F844&gt;0,"Very Low","")))))</f>
        <v/>
      </c>
      <c r="H844" s="5" t="n"/>
    </row>
    <row r="845">
      <c r="B845" s="6" t="n"/>
      <c r="F845">
        <f>D845*E845</f>
        <v/>
      </c>
      <c r="G845">
        <f>IF($F845&gt;=20,"Critical",IF($F845&gt;=15,"High",IF($F845&gt;=10,"Medium",IF($F845&gt;=5,"Low",IF($F845&gt;0,"Very Low","")))))</f>
        <v/>
      </c>
      <c r="H845" s="5" t="n"/>
    </row>
    <row r="846">
      <c r="B846" s="6" t="n"/>
      <c r="F846">
        <f>D846*E846</f>
        <v/>
      </c>
      <c r="G846">
        <f>IF($F846&gt;=20,"Critical",IF($F846&gt;=15,"High",IF($F846&gt;=10,"Medium",IF($F846&gt;=5,"Low",IF($F846&gt;0,"Very Low","")))))</f>
        <v/>
      </c>
      <c r="H846" s="5" t="n"/>
    </row>
    <row r="847">
      <c r="B847" s="6" t="n"/>
      <c r="F847">
        <f>D847*E847</f>
        <v/>
      </c>
      <c r="G847">
        <f>IF($F847&gt;=20,"Critical",IF($F847&gt;=15,"High",IF($F847&gt;=10,"Medium",IF($F847&gt;=5,"Low",IF($F847&gt;0,"Very Low","")))))</f>
        <v/>
      </c>
      <c r="H847" s="5" t="n"/>
    </row>
    <row r="848">
      <c r="B848" s="6" t="n"/>
      <c r="F848">
        <f>D848*E848</f>
        <v/>
      </c>
      <c r="G848">
        <f>IF($F848&gt;=20,"Critical",IF($F848&gt;=15,"High",IF($F848&gt;=10,"Medium",IF($F848&gt;=5,"Low",IF($F848&gt;0,"Very Low","")))))</f>
        <v/>
      </c>
      <c r="H848" s="5" t="n"/>
    </row>
    <row r="849">
      <c r="B849" s="6" t="n"/>
      <c r="F849">
        <f>D849*E849</f>
        <v/>
      </c>
      <c r="G849">
        <f>IF($F849&gt;=20,"Critical",IF($F849&gt;=15,"High",IF($F849&gt;=10,"Medium",IF($F849&gt;=5,"Low",IF($F849&gt;0,"Very Low","")))))</f>
        <v/>
      </c>
      <c r="H849" s="5" t="n"/>
    </row>
    <row r="850">
      <c r="B850" s="6" t="n"/>
      <c r="F850">
        <f>D850*E850</f>
        <v/>
      </c>
      <c r="G850">
        <f>IF($F850&gt;=20,"Critical",IF($F850&gt;=15,"High",IF($F850&gt;=10,"Medium",IF($F850&gt;=5,"Low",IF($F850&gt;0,"Very Low","")))))</f>
        <v/>
      </c>
      <c r="H850" s="5" t="n"/>
    </row>
    <row r="851">
      <c r="B851" s="6" t="n"/>
      <c r="F851">
        <f>D851*E851</f>
        <v/>
      </c>
      <c r="G851">
        <f>IF($F851&gt;=20,"Critical",IF($F851&gt;=15,"High",IF($F851&gt;=10,"Medium",IF($F851&gt;=5,"Low",IF($F851&gt;0,"Very Low","")))))</f>
        <v/>
      </c>
      <c r="H851" s="5" t="n"/>
    </row>
    <row r="852">
      <c r="B852" s="6" t="n"/>
      <c r="F852">
        <f>D852*E852</f>
        <v/>
      </c>
      <c r="G852">
        <f>IF($F852&gt;=20,"Critical",IF($F852&gt;=15,"High",IF($F852&gt;=10,"Medium",IF($F852&gt;=5,"Low",IF($F852&gt;0,"Very Low","")))))</f>
        <v/>
      </c>
      <c r="H852" s="5" t="n"/>
    </row>
    <row r="853">
      <c r="B853" s="6" t="n"/>
      <c r="F853">
        <f>D853*E853</f>
        <v/>
      </c>
      <c r="G853">
        <f>IF($F853&gt;=20,"Critical",IF($F853&gt;=15,"High",IF($F853&gt;=10,"Medium",IF($F853&gt;=5,"Low",IF($F853&gt;0,"Very Low","")))))</f>
        <v/>
      </c>
      <c r="H853" s="5" t="n"/>
    </row>
    <row r="854">
      <c r="B854" s="6" t="n"/>
      <c r="F854">
        <f>D854*E854</f>
        <v/>
      </c>
      <c r="G854">
        <f>IF($F854&gt;=20,"Critical",IF($F854&gt;=15,"High",IF($F854&gt;=10,"Medium",IF($F854&gt;=5,"Low",IF($F854&gt;0,"Very Low","")))))</f>
        <v/>
      </c>
      <c r="H854" s="5" t="n"/>
    </row>
    <row r="855">
      <c r="B855" s="6" t="n"/>
      <c r="F855">
        <f>D855*E855</f>
        <v/>
      </c>
      <c r="G855">
        <f>IF($F855&gt;=20,"Critical",IF($F855&gt;=15,"High",IF($F855&gt;=10,"Medium",IF($F855&gt;=5,"Low",IF($F855&gt;0,"Very Low","")))))</f>
        <v/>
      </c>
      <c r="H855" s="5" t="n"/>
    </row>
    <row r="856">
      <c r="B856" s="6" t="n"/>
      <c r="F856">
        <f>D856*E856</f>
        <v/>
      </c>
      <c r="G856">
        <f>IF($F856&gt;=20,"Critical",IF($F856&gt;=15,"High",IF($F856&gt;=10,"Medium",IF($F856&gt;=5,"Low",IF($F856&gt;0,"Very Low","")))))</f>
        <v/>
      </c>
      <c r="H856" s="5" t="n"/>
    </row>
    <row r="857">
      <c r="B857" s="6" t="n"/>
      <c r="F857">
        <f>D857*E857</f>
        <v/>
      </c>
      <c r="G857">
        <f>IF($F857&gt;=20,"Critical",IF($F857&gt;=15,"High",IF($F857&gt;=10,"Medium",IF($F857&gt;=5,"Low",IF($F857&gt;0,"Very Low","")))))</f>
        <v/>
      </c>
      <c r="H857" s="5" t="n"/>
    </row>
    <row r="858">
      <c r="B858" s="6" t="n"/>
      <c r="F858">
        <f>D858*E858</f>
        <v/>
      </c>
      <c r="G858">
        <f>IF($F858&gt;=20,"Critical",IF($F858&gt;=15,"High",IF($F858&gt;=10,"Medium",IF($F858&gt;=5,"Low",IF($F858&gt;0,"Very Low","")))))</f>
        <v/>
      </c>
      <c r="H858" s="5" t="n"/>
    </row>
    <row r="859">
      <c r="B859" s="6" t="n"/>
      <c r="F859">
        <f>D859*E859</f>
        <v/>
      </c>
      <c r="G859">
        <f>IF($F859&gt;=20,"Critical",IF($F859&gt;=15,"High",IF($F859&gt;=10,"Medium",IF($F859&gt;=5,"Low",IF($F859&gt;0,"Very Low","")))))</f>
        <v/>
      </c>
      <c r="H859" s="5" t="n"/>
    </row>
    <row r="860">
      <c r="B860" s="6" t="n"/>
      <c r="F860">
        <f>D860*E860</f>
        <v/>
      </c>
      <c r="G860">
        <f>IF($F860&gt;=20,"Critical",IF($F860&gt;=15,"High",IF($F860&gt;=10,"Medium",IF($F860&gt;=5,"Low",IF($F860&gt;0,"Very Low","")))))</f>
        <v/>
      </c>
      <c r="H860" s="5" t="n"/>
    </row>
    <row r="861">
      <c r="B861" s="6" t="n"/>
      <c r="F861">
        <f>D861*E861</f>
        <v/>
      </c>
      <c r="G861">
        <f>IF($F861&gt;=20,"Critical",IF($F861&gt;=15,"High",IF($F861&gt;=10,"Medium",IF($F861&gt;=5,"Low",IF($F861&gt;0,"Very Low","")))))</f>
        <v/>
      </c>
      <c r="H861" s="5" t="n"/>
    </row>
    <row r="862">
      <c r="B862" s="6" t="n"/>
      <c r="F862">
        <f>D862*E862</f>
        <v/>
      </c>
      <c r="G862">
        <f>IF($F862&gt;=20,"Critical",IF($F862&gt;=15,"High",IF($F862&gt;=10,"Medium",IF($F862&gt;=5,"Low",IF($F862&gt;0,"Very Low","")))))</f>
        <v/>
      </c>
      <c r="H862" s="5" t="n"/>
    </row>
    <row r="863">
      <c r="B863" s="6" t="n"/>
      <c r="F863">
        <f>D863*E863</f>
        <v/>
      </c>
      <c r="G863">
        <f>IF($F863&gt;=20,"Critical",IF($F863&gt;=15,"High",IF($F863&gt;=10,"Medium",IF($F863&gt;=5,"Low",IF($F863&gt;0,"Very Low","")))))</f>
        <v/>
      </c>
      <c r="H863" s="5" t="n"/>
    </row>
    <row r="864">
      <c r="B864" s="6" t="n"/>
      <c r="F864">
        <f>D864*E864</f>
        <v/>
      </c>
      <c r="G864">
        <f>IF($F864&gt;=20,"Critical",IF($F864&gt;=15,"High",IF($F864&gt;=10,"Medium",IF($F864&gt;=5,"Low",IF($F864&gt;0,"Very Low","")))))</f>
        <v/>
      </c>
      <c r="H864" s="5" t="n"/>
    </row>
    <row r="865">
      <c r="B865" s="6" t="n"/>
      <c r="F865">
        <f>D865*E865</f>
        <v/>
      </c>
      <c r="G865">
        <f>IF($F865&gt;=20,"Critical",IF($F865&gt;=15,"High",IF($F865&gt;=10,"Medium",IF($F865&gt;=5,"Low",IF($F865&gt;0,"Very Low","")))))</f>
        <v/>
      </c>
      <c r="H865" s="5" t="n"/>
    </row>
    <row r="866">
      <c r="B866" s="6" t="n"/>
      <c r="F866">
        <f>D866*E866</f>
        <v/>
      </c>
      <c r="G866">
        <f>IF($F866&gt;=20,"Critical",IF($F866&gt;=15,"High",IF($F866&gt;=10,"Medium",IF($F866&gt;=5,"Low",IF($F866&gt;0,"Very Low","")))))</f>
        <v/>
      </c>
      <c r="H866" s="5" t="n"/>
    </row>
    <row r="867">
      <c r="B867" s="6" t="n"/>
      <c r="F867">
        <f>D867*E867</f>
        <v/>
      </c>
      <c r="G867">
        <f>IF($F867&gt;=20,"Critical",IF($F867&gt;=15,"High",IF($F867&gt;=10,"Medium",IF($F867&gt;=5,"Low",IF($F867&gt;0,"Very Low","")))))</f>
        <v/>
      </c>
      <c r="H867" s="5" t="n"/>
    </row>
    <row r="868">
      <c r="B868" s="6" t="n"/>
      <c r="F868">
        <f>D868*E868</f>
        <v/>
      </c>
      <c r="G868">
        <f>IF($F868&gt;=20,"Critical",IF($F868&gt;=15,"High",IF($F868&gt;=10,"Medium",IF($F868&gt;=5,"Low",IF($F868&gt;0,"Very Low","")))))</f>
        <v/>
      </c>
      <c r="H868" s="5" t="n"/>
    </row>
    <row r="869">
      <c r="B869" s="6" t="n"/>
      <c r="F869">
        <f>D869*E869</f>
        <v/>
      </c>
      <c r="G869">
        <f>IF($F869&gt;=20,"Critical",IF($F869&gt;=15,"High",IF($F869&gt;=10,"Medium",IF($F869&gt;=5,"Low",IF($F869&gt;0,"Very Low","")))))</f>
        <v/>
      </c>
      <c r="H869" s="5" t="n"/>
    </row>
    <row r="870">
      <c r="B870" s="6" t="n"/>
      <c r="F870">
        <f>D870*E870</f>
        <v/>
      </c>
      <c r="G870">
        <f>IF($F870&gt;=20,"Critical",IF($F870&gt;=15,"High",IF($F870&gt;=10,"Medium",IF($F870&gt;=5,"Low",IF($F870&gt;0,"Very Low","")))))</f>
        <v/>
      </c>
      <c r="H870" s="5" t="n"/>
    </row>
    <row r="871">
      <c r="B871" s="6" t="n"/>
      <c r="F871">
        <f>D871*E871</f>
        <v/>
      </c>
      <c r="G871">
        <f>IF($F871&gt;=20,"Critical",IF($F871&gt;=15,"High",IF($F871&gt;=10,"Medium",IF($F871&gt;=5,"Low",IF($F871&gt;0,"Very Low","")))))</f>
        <v/>
      </c>
      <c r="H871" s="5" t="n"/>
    </row>
    <row r="872">
      <c r="B872" s="6" t="n"/>
      <c r="F872">
        <f>D872*E872</f>
        <v/>
      </c>
      <c r="G872">
        <f>IF($F872&gt;=20,"Critical",IF($F872&gt;=15,"High",IF($F872&gt;=10,"Medium",IF($F872&gt;=5,"Low",IF($F872&gt;0,"Very Low","")))))</f>
        <v/>
      </c>
      <c r="H872" s="5" t="n"/>
    </row>
    <row r="873">
      <c r="B873" s="6" t="n"/>
      <c r="F873">
        <f>D873*E873</f>
        <v/>
      </c>
      <c r="G873">
        <f>IF($F873&gt;=20,"Critical",IF($F873&gt;=15,"High",IF($F873&gt;=10,"Medium",IF($F873&gt;=5,"Low",IF($F873&gt;0,"Very Low","")))))</f>
        <v/>
      </c>
      <c r="H873" s="5" t="n"/>
    </row>
    <row r="874">
      <c r="B874" s="6" t="n"/>
      <c r="F874">
        <f>D874*E874</f>
        <v/>
      </c>
      <c r="G874">
        <f>IF($F874&gt;=20,"Critical",IF($F874&gt;=15,"High",IF($F874&gt;=10,"Medium",IF($F874&gt;=5,"Low",IF($F874&gt;0,"Very Low","")))))</f>
        <v/>
      </c>
      <c r="H874" s="5" t="n"/>
    </row>
    <row r="875">
      <c r="B875" s="6" t="n"/>
      <c r="F875">
        <f>D875*E875</f>
        <v/>
      </c>
      <c r="G875">
        <f>IF($F875&gt;=20,"Critical",IF($F875&gt;=15,"High",IF($F875&gt;=10,"Medium",IF($F875&gt;=5,"Low",IF($F875&gt;0,"Very Low","")))))</f>
        <v/>
      </c>
      <c r="H875" s="5" t="n"/>
    </row>
    <row r="876">
      <c r="B876" s="6" t="n"/>
      <c r="F876">
        <f>D876*E876</f>
        <v/>
      </c>
      <c r="G876">
        <f>IF($F876&gt;=20,"Critical",IF($F876&gt;=15,"High",IF($F876&gt;=10,"Medium",IF($F876&gt;=5,"Low",IF($F876&gt;0,"Very Low","")))))</f>
        <v/>
      </c>
      <c r="H876" s="5" t="n"/>
    </row>
    <row r="877">
      <c r="B877" s="6" t="n"/>
      <c r="F877">
        <f>D877*E877</f>
        <v/>
      </c>
      <c r="G877">
        <f>IF($F877&gt;=20,"Critical",IF($F877&gt;=15,"High",IF($F877&gt;=10,"Medium",IF($F877&gt;=5,"Low",IF($F877&gt;0,"Very Low","")))))</f>
        <v/>
      </c>
      <c r="H877" s="5" t="n"/>
    </row>
    <row r="878">
      <c r="B878" s="6" t="n"/>
      <c r="F878">
        <f>D878*E878</f>
        <v/>
      </c>
      <c r="G878">
        <f>IF($F878&gt;=20,"Critical",IF($F878&gt;=15,"High",IF($F878&gt;=10,"Medium",IF($F878&gt;=5,"Low",IF($F878&gt;0,"Very Low","")))))</f>
        <v/>
      </c>
      <c r="H878" s="5" t="n"/>
    </row>
    <row r="879">
      <c r="B879" s="6" t="n"/>
      <c r="F879">
        <f>D879*E879</f>
        <v/>
      </c>
      <c r="G879">
        <f>IF($F879&gt;=20,"Critical",IF($F879&gt;=15,"High",IF($F879&gt;=10,"Medium",IF($F879&gt;=5,"Low",IF($F879&gt;0,"Very Low","")))))</f>
        <v/>
      </c>
      <c r="H879" s="5" t="n"/>
    </row>
    <row r="880">
      <c r="B880" s="6" t="n"/>
      <c r="F880">
        <f>D880*E880</f>
        <v/>
      </c>
      <c r="G880">
        <f>IF($F880&gt;=20,"Critical",IF($F880&gt;=15,"High",IF($F880&gt;=10,"Medium",IF($F880&gt;=5,"Low",IF($F880&gt;0,"Very Low","")))))</f>
        <v/>
      </c>
      <c r="H880" s="5" t="n"/>
    </row>
    <row r="881">
      <c r="B881" s="6" t="n"/>
      <c r="F881">
        <f>D881*E881</f>
        <v/>
      </c>
      <c r="G881">
        <f>IF($F881&gt;=20,"Critical",IF($F881&gt;=15,"High",IF($F881&gt;=10,"Medium",IF($F881&gt;=5,"Low",IF($F881&gt;0,"Very Low","")))))</f>
        <v/>
      </c>
      <c r="H881" s="5" t="n"/>
    </row>
    <row r="882">
      <c r="B882" s="6" t="n"/>
      <c r="F882">
        <f>D882*E882</f>
        <v/>
      </c>
      <c r="G882">
        <f>IF($F882&gt;=20,"Critical",IF($F882&gt;=15,"High",IF($F882&gt;=10,"Medium",IF($F882&gt;=5,"Low",IF($F882&gt;0,"Very Low","")))))</f>
        <v/>
      </c>
      <c r="H882" s="5" t="n"/>
    </row>
    <row r="883">
      <c r="B883" s="6" t="n"/>
      <c r="F883">
        <f>D883*E883</f>
        <v/>
      </c>
      <c r="G883">
        <f>IF($F883&gt;=20,"Critical",IF($F883&gt;=15,"High",IF($F883&gt;=10,"Medium",IF($F883&gt;=5,"Low",IF($F883&gt;0,"Very Low","")))))</f>
        <v/>
      </c>
      <c r="H883" s="5" t="n"/>
    </row>
    <row r="884">
      <c r="B884" s="6" t="n"/>
      <c r="F884">
        <f>D884*E884</f>
        <v/>
      </c>
      <c r="G884">
        <f>IF($F884&gt;=20,"Critical",IF($F884&gt;=15,"High",IF($F884&gt;=10,"Medium",IF($F884&gt;=5,"Low",IF($F884&gt;0,"Very Low","")))))</f>
        <v/>
      </c>
      <c r="H884" s="5" t="n"/>
    </row>
    <row r="885">
      <c r="B885" s="6" t="n"/>
      <c r="F885">
        <f>D885*E885</f>
        <v/>
      </c>
      <c r="G885">
        <f>IF($F885&gt;=20,"Critical",IF($F885&gt;=15,"High",IF($F885&gt;=10,"Medium",IF($F885&gt;=5,"Low",IF($F885&gt;0,"Very Low","")))))</f>
        <v/>
      </c>
      <c r="H885" s="5" t="n"/>
    </row>
    <row r="886">
      <c r="B886" s="6" t="n"/>
      <c r="F886">
        <f>D886*E886</f>
        <v/>
      </c>
      <c r="G886">
        <f>IF($F886&gt;=20,"Critical",IF($F886&gt;=15,"High",IF($F886&gt;=10,"Medium",IF($F886&gt;=5,"Low",IF($F886&gt;0,"Very Low","")))))</f>
        <v/>
      </c>
      <c r="H886" s="5" t="n"/>
    </row>
    <row r="887">
      <c r="B887" s="6" t="n"/>
      <c r="F887">
        <f>D887*E887</f>
        <v/>
      </c>
      <c r="G887">
        <f>IF($F887&gt;=20,"Critical",IF($F887&gt;=15,"High",IF($F887&gt;=10,"Medium",IF($F887&gt;=5,"Low",IF($F887&gt;0,"Very Low","")))))</f>
        <v/>
      </c>
      <c r="H887" s="5" t="n"/>
    </row>
    <row r="888">
      <c r="B888" s="6" t="n"/>
      <c r="F888">
        <f>D888*E888</f>
        <v/>
      </c>
      <c r="G888">
        <f>IF($F888&gt;=20,"Critical",IF($F888&gt;=15,"High",IF($F888&gt;=10,"Medium",IF($F888&gt;=5,"Low",IF($F888&gt;0,"Very Low","")))))</f>
        <v/>
      </c>
      <c r="H888" s="5" t="n"/>
    </row>
    <row r="889">
      <c r="B889" s="6" t="n"/>
      <c r="F889">
        <f>D889*E889</f>
        <v/>
      </c>
      <c r="G889">
        <f>IF($F889&gt;=20,"Critical",IF($F889&gt;=15,"High",IF($F889&gt;=10,"Medium",IF($F889&gt;=5,"Low",IF($F889&gt;0,"Very Low","")))))</f>
        <v/>
      </c>
      <c r="H889" s="5" t="n"/>
    </row>
    <row r="890">
      <c r="B890" s="6" t="n"/>
      <c r="F890">
        <f>D890*E890</f>
        <v/>
      </c>
      <c r="G890">
        <f>IF($F890&gt;=20,"Critical",IF($F890&gt;=15,"High",IF($F890&gt;=10,"Medium",IF($F890&gt;=5,"Low",IF($F890&gt;0,"Very Low","")))))</f>
        <v/>
      </c>
      <c r="H890" s="5" t="n"/>
    </row>
    <row r="891">
      <c r="B891" s="6" t="n"/>
      <c r="F891">
        <f>D891*E891</f>
        <v/>
      </c>
      <c r="G891">
        <f>IF($F891&gt;=20,"Critical",IF($F891&gt;=15,"High",IF($F891&gt;=10,"Medium",IF($F891&gt;=5,"Low",IF($F891&gt;0,"Very Low","")))))</f>
        <v/>
      </c>
      <c r="H891" s="5" t="n"/>
    </row>
    <row r="892">
      <c r="B892" s="6" t="n"/>
      <c r="F892">
        <f>D892*E892</f>
        <v/>
      </c>
      <c r="G892">
        <f>IF($F892&gt;=20,"Critical",IF($F892&gt;=15,"High",IF($F892&gt;=10,"Medium",IF($F892&gt;=5,"Low",IF($F892&gt;0,"Very Low","")))))</f>
        <v/>
      </c>
      <c r="H892" s="5" t="n"/>
    </row>
    <row r="893">
      <c r="B893" s="6" t="n"/>
      <c r="F893">
        <f>D893*E893</f>
        <v/>
      </c>
      <c r="G893">
        <f>IF($F893&gt;=20,"Critical",IF($F893&gt;=15,"High",IF($F893&gt;=10,"Medium",IF($F893&gt;=5,"Low",IF($F893&gt;0,"Very Low","")))))</f>
        <v/>
      </c>
      <c r="H893" s="5" t="n"/>
    </row>
    <row r="894">
      <c r="B894" s="6" t="n"/>
      <c r="F894">
        <f>D894*E894</f>
        <v/>
      </c>
      <c r="G894">
        <f>IF($F894&gt;=20,"Critical",IF($F894&gt;=15,"High",IF($F894&gt;=10,"Medium",IF($F894&gt;=5,"Low",IF($F894&gt;0,"Very Low","")))))</f>
        <v/>
      </c>
      <c r="H894" s="5" t="n"/>
    </row>
    <row r="895">
      <c r="B895" s="6" t="n"/>
      <c r="F895">
        <f>D895*E895</f>
        <v/>
      </c>
      <c r="G895">
        <f>IF($F895&gt;=20,"Critical",IF($F895&gt;=15,"High",IF($F895&gt;=10,"Medium",IF($F895&gt;=5,"Low",IF($F895&gt;0,"Very Low","")))))</f>
        <v/>
      </c>
      <c r="H895" s="5" t="n"/>
    </row>
    <row r="896">
      <c r="B896" s="6" t="n"/>
      <c r="F896">
        <f>D896*E896</f>
        <v/>
      </c>
      <c r="G896">
        <f>IF($F896&gt;=20,"Critical",IF($F896&gt;=15,"High",IF($F896&gt;=10,"Medium",IF($F896&gt;=5,"Low",IF($F896&gt;0,"Very Low","")))))</f>
        <v/>
      </c>
      <c r="H896" s="5" t="n"/>
    </row>
    <row r="897">
      <c r="B897" s="6" t="n"/>
      <c r="F897">
        <f>D897*E897</f>
        <v/>
      </c>
      <c r="G897">
        <f>IF($F897&gt;=20,"Critical",IF($F897&gt;=15,"High",IF($F897&gt;=10,"Medium",IF($F897&gt;=5,"Low",IF($F897&gt;0,"Very Low","")))))</f>
        <v/>
      </c>
      <c r="H897" s="5" t="n"/>
    </row>
    <row r="898">
      <c r="B898" s="6" t="n"/>
      <c r="F898">
        <f>D898*E898</f>
        <v/>
      </c>
      <c r="G898">
        <f>IF($F898&gt;=20,"Critical",IF($F898&gt;=15,"High",IF($F898&gt;=10,"Medium",IF($F898&gt;=5,"Low",IF($F898&gt;0,"Very Low","")))))</f>
        <v/>
      </c>
      <c r="H898" s="5" t="n"/>
    </row>
    <row r="899">
      <c r="B899" s="6" t="n"/>
      <c r="F899">
        <f>D899*E899</f>
        <v/>
      </c>
      <c r="G899">
        <f>IF($F899&gt;=20,"Critical",IF($F899&gt;=15,"High",IF($F899&gt;=10,"Medium",IF($F899&gt;=5,"Low",IF($F899&gt;0,"Very Low","")))))</f>
        <v/>
      </c>
      <c r="H899" s="5" t="n"/>
    </row>
    <row r="900">
      <c r="B900" s="6" t="n"/>
      <c r="F900">
        <f>D900*E900</f>
        <v/>
      </c>
      <c r="G900">
        <f>IF($F900&gt;=20,"Critical",IF($F900&gt;=15,"High",IF($F900&gt;=10,"Medium",IF($F900&gt;=5,"Low",IF($F900&gt;0,"Very Low","")))))</f>
        <v/>
      </c>
      <c r="H900" s="5" t="n"/>
    </row>
    <row r="901">
      <c r="B901" s="6" t="n"/>
      <c r="F901">
        <f>D901*E901</f>
        <v/>
      </c>
      <c r="G901">
        <f>IF($F901&gt;=20,"Critical",IF($F901&gt;=15,"High",IF($F901&gt;=10,"Medium",IF($F901&gt;=5,"Low",IF($F901&gt;0,"Very Low","")))))</f>
        <v/>
      </c>
      <c r="H901" s="5" t="n"/>
    </row>
    <row r="902">
      <c r="B902" s="6" t="n"/>
      <c r="F902">
        <f>D902*E902</f>
        <v/>
      </c>
      <c r="G902">
        <f>IF($F902&gt;=20,"Critical",IF($F902&gt;=15,"High",IF($F902&gt;=10,"Medium",IF($F902&gt;=5,"Low",IF($F902&gt;0,"Very Low","")))))</f>
        <v/>
      </c>
      <c r="H902" s="5" t="n"/>
    </row>
    <row r="903">
      <c r="B903" s="6" t="n"/>
      <c r="F903">
        <f>D903*E903</f>
        <v/>
      </c>
      <c r="G903">
        <f>IF($F903&gt;=20,"Critical",IF($F903&gt;=15,"High",IF($F903&gt;=10,"Medium",IF($F903&gt;=5,"Low",IF($F903&gt;0,"Very Low","")))))</f>
        <v/>
      </c>
      <c r="H903" s="5" t="n"/>
    </row>
    <row r="904">
      <c r="B904" s="6" t="n"/>
      <c r="F904">
        <f>D904*E904</f>
        <v/>
      </c>
      <c r="G904">
        <f>IF($F904&gt;=20,"Critical",IF($F904&gt;=15,"High",IF($F904&gt;=10,"Medium",IF($F904&gt;=5,"Low",IF($F904&gt;0,"Very Low","")))))</f>
        <v/>
      </c>
      <c r="H904" s="5" t="n"/>
    </row>
    <row r="905">
      <c r="B905" s="6" t="n"/>
      <c r="F905">
        <f>D905*E905</f>
        <v/>
      </c>
      <c r="G905">
        <f>IF($F905&gt;=20,"Critical",IF($F905&gt;=15,"High",IF($F905&gt;=10,"Medium",IF($F905&gt;=5,"Low",IF($F905&gt;0,"Very Low","")))))</f>
        <v/>
      </c>
      <c r="H905" s="5" t="n"/>
    </row>
    <row r="906">
      <c r="B906" s="6" t="n"/>
      <c r="F906">
        <f>D906*E906</f>
        <v/>
      </c>
      <c r="G906">
        <f>IF($F906&gt;=20,"Critical",IF($F906&gt;=15,"High",IF($F906&gt;=10,"Medium",IF($F906&gt;=5,"Low",IF($F906&gt;0,"Very Low","")))))</f>
        <v/>
      </c>
      <c r="H906" s="5" t="n"/>
    </row>
    <row r="907">
      <c r="B907" s="6" t="n"/>
      <c r="F907">
        <f>D907*E907</f>
        <v/>
      </c>
      <c r="G907">
        <f>IF($F907&gt;=20,"Critical",IF($F907&gt;=15,"High",IF($F907&gt;=10,"Medium",IF($F907&gt;=5,"Low",IF($F907&gt;0,"Very Low","")))))</f>
        <v/>
      </c>
      <c r="H907" s="5" t="n"/>
    </row>
    <row r="908">
      <c r="B908" s="6" t="n"/>
      <c r="F908">
        <f>D908*E908</f>
        <v/>
      </c>
      <c r="G908">
        <f>IF($F908&gt;=20,"Critical",IF($F908&gt;=15,"High",IF($F908&gt;=10,"Medium",IF($F908&gt;=5,"Low",IF($F908&gt;0,"Very Low","")))))</f>
        <v/>
      </c>
      <c r="H908" s="5" t="n"/>
    </row>
    <row r="909">
      <c r="B909" s="6" t="n"/>
      <c r="F909">
        <f>D909*E909</f>
        <v/>
      </c>
      <c r="G909">
        <f>IF($F909&gt;=20,"Critical",IF($F909&gt;=15,"High",IF($F909&gt;=10,"Medium",IF($F909&gt;=5,"Low",IF($F909&gt;0,"Very Low","")))))</f>
        <v/>
      </c>
      <c r="H909" s="5" t="n"/>
    </row>
    <row r="910">
      <c r="B910" s="6" t="n"/>
      <c r="F910">
        <f>D910*E910</f>
        <v/>
      </c>
      <c r="G910">
        <f>IF($F910&gt;=20,"Critical",IF($F910&gt;=15,"High",IF($F910&gt;=10,"Medium",IF($F910&gt;=5,"Low",IF($F910&gt;0,"Very Low","")))))</f>
        <v/>
      </c>
      <c r="H910" s="5" t="n"/>
    </row>
    <row r="911">
      <c r="B911" s="6" t="n"/>
      <c r="F911">
        <f>D911*E911</f>
        <v/>
      </c>
      <c r="G911">
        <f>IF($F911&gt;=20,"Critical",IF($F911&gt;=15,"High",IF($F911&gt;=10,"Medium",IF($F911&gt;=5,"Low",IF($F911&gt;0,"Very Low","")))))</f>
        <v/>
      </c>
      <c r="H911" s="5" t="n"/>
    </row>
    <row r="912">
      <c r="B912" s="6" t="n"/>
      <c r="F912">
        <f>D912*E912</f>
        <v/>
      </c>
      <c r="G912">
        <f>IF($F912&gt;=20,"Critical",IF($F912&gt;=15,"High",IF($F912&gt;=10,"Medium",IF($F912&gt;=5,"Low",IF($F912&gt;0,"Very Low","")))))</f>
        <v/>
      </c>
      <c r="H912" s="5" t="n"/>
    </row>
    <row r="913">
      <c r="B913" s="6" t="n"/>
      <c r="F913">
        <f>D913*E913</f>
        <v/>
      </c>
      <c r="G913">
        <f>IF($F913&gt;=20,"Critical",IF($F913&gt;=15,"High",IF($F913&gt;=10,"Medium",IF($F913&gt;=5,"Low",IF($F913&gt;0,"Very Low","")))))</f>
        <v/>
      </c>
      <c r="H913" s="5" t="n"/>
    </row>
    <row r="914">
      <c r="B914" s="6" t="n"/>
      <c r="F914">
        <f>D914*E914</f>
        <v/>
      </c>
      <c r="G914">
        <f>IF($F914&gt;=20,"Critical",IF($F914&gt;=15,"High",IF($F914&gt;=10,"Medium",IF($F914&gt;=5,"Low",IF($F914&gt;0,"Very Low","")))))</f>
        <v/>
      </c>
      <c r="H914" s="5" t="n"/>
    </row>
    <row r="915">
      <c r="B915" s="6" t="n"/>
      <c r="F915">
        <f>D915*E915</f>
        <v/>
      </c>
      <c r="G915">
        <f>IF($F915&gt;=20,"Critical",IF($F915&gt;=15,"High",IF($F915&gt;=10,"Medium",IF($F915&gt;=5,"Low",IF($F915&gt;0,"Very Low","")))))</f>
        <v/>
      </c>
      <c r="H915" s="5" t="n"/>
    </row>
    <row r="916">
      <c r="B916" s="6" t="n"/>
      <c r="F916">
        <f>D916*E916</f>
        <v/>
      </c>
      <c r="G916">
        <f>IF($F916&gt;=20,"Critical",IF($F916&gt;=15,"High",IF($F916&gt;=10,"Medium",IF($F916&gt;=5,"Low",IF($F916&gt;0,"Very Low","")))))</f>
        <v/>
      </c>
      <c r="H916" s="5" t="n"/>
    </row>
    <row r="917">
      <c r="B917" s="6" t="n"/>
      <c r="F917">
        <f>D917*E917</f>
        <v/>
      </c>
      <c r="G917">
        <f>IF($F917&gt;=20,"Critical",IF($F917&gt;=15,"High",IF($F917&gt;=10,"Medium",IF($F917&gt;=5,"Low",IF($F917&gt;0,"Very Low","")))))</f>
        <v/>
      </c>
      <c r="H917" s="5" t="n"/>
    </row>
    <row r="918">
      <c r="B918" s="6" t="n"/>
      <c r="F918">
        <f>D918*E918</f>
        <v/>
      </c>
      <c r="G918">
        <f>IF($F918&gt;=20,"Critical",IF($F918&gt;=15,"High",IF($F918&gt;=10,"Medium",IF($F918&gt;=5,"Low",IF($F918&gt;0,"Very Low","")))))</f>
        <v/>
      </c>
      <c r="H918" s="5" t="n"/>
    </row>
    <row r="919">
      <c r="B919" s="6" t="n"/>
      <c r="F919">
        <f>D919*E919</f>
        <v/>
      </c>
      <c r="G919">
        <f>IF($F919&gt;=20,"Critical",IF($F919&gt;=15,"High",IF($F919&gt;=10,"Medium",IF($F919&gt;=5,"Low",IF($F919&gt;0,"Very Low","")))))</f>
        <v/>
      </c>
      <c r="H919" s="5" t="n"/>
    </row>
    <row r="920">
      <c r="B920" s="6" t="n"/>
      <c r="F920">
        <f>D920*E920</f>
        <v/>
      </c>
      <c r="G920">
        <f>IF($F920&gt;=20,"Critical",IF($F920&gt;=15,"High",IF($F920&gt;=10,"Medium",IF($F920&gt;=5,"Low",IF($F920&gt;0,"Very Low","")))))</f>
        <v/>
      </c>
      <c r="H920" s="5" t="n"/>
    </row>
    <row r="921">
      <c r="B921" s="6" t="n"/>
      <c r="F921">
        <f>D921*E921</f>
        <v/>
      </c>
      <c r="G921">
        <f>IF($F921&gt;=20,"Critical",IF($F921&gt;=15,"High",IF($F921&gt;=10,"Medium",IF($F921&gt;=5,"Low",IF($F921&gt;0,"Very Low","")))))</f>
        <v/>
      </c>
      <c r="H921" s="5" t="n"/>
    </row>
    <row r="922">
      <c r="B922" s="6" t="n"/>
      <c r="F922">
        <f>D922*E922</f>
        <v/>
      </c>
      <c r="G922">
        <f>IF($F922&gt;=20,"Critical",IF($F922&gt;=15,"High",IF($F922&gt;=10,"Medium",IF($F922&gt;=5,"Low",IF($F922&gt;0,"Very Low","")))))</f>
        <v/>
      </c>
      <c r="H922" s="5" t="n"/>
    </row>
    <row r="923">
      <c r="B923" s="6" t="n"/>
      <c r="F923">
        <f>D923*E923</f>
        <v/>
      </c>
      <c r="G923">
        <f>IF($F923&gt;=20,"Critical",IF($F923&gt;=15,"High",IF($F923&gt;=10,"Medium",IF($F923&gt;=5,"Low",IF($F923&gt;0,"Very Low","")))))</f>
        <v/>
      </c>
      <c r="H923" s="5" t="n"/>
    </row>
    <row r="924">
      <c r="B924" s="6" t="n"/>
      <c r="F924">
        <f>D924*E924</f>
        <v/>
      </c>
      <c r="G924">
        <f>IF($F924&gt;=20,"Critical",IF($F924&gt;=15,"High",IF($F924&gt;=10,"Medium",IF($F924&gt;=5,"Low",IF($F924&gt;0,"Very Low","")))))</f>
        <v/>
      </c>
      <c r="H924" s="5" t="n"/>
    </row>
    <row r="925">
      <c r="B925" s="6" t="n"/>
      <c r="F925">
        <f>D925*E925</f>
        <v/>
      </c>
      <c r="G925">
        <f>IF($F925&gt;=20,"Critical",IF($F925&gt;=15,"High",IF($F925&gt;=10,"Medium",IF($F925&gt;=5,"Low",IF($F925&gt;0,"Very Low","")))))</f>
        <v/>
      </c>
      <c r="H925" s="5" t="n"/>
    </row>
    <row r="926">
      <c r="B926" s="6" t="n"/>
      <c r="F926">
        <f>D926*E926</f>
        <v/>
      </c>
      <c r="G926">
        <f>IF($F926&gt;=20,"Critical",IF($F926&gt;=15,"High",IF($F926&gt;=10,"Medium",IF($F926&gt;=5,"Low",IF($F926&gt;0,"Very Low","")))))</f>
        <v/>
      </c>
      <c r="H926" s="5" t="n"/>
    </row>
    <row r="927">
      <c r="B927" s="6" t="n"/>
      <c r="F927">
        <f>D927*E927</f>
        <v/>
      </c>
      <c r="G927">
        <f>IF($F927&gt;=20,"Critical",IF($F927&gt;=15,"High",IF($F927&gt;=10,"Medium",IF($F927&gt;=5,"Low",IF($F927&gt;0,"Very Low","")))))</f>
        <v/>
      </c>
      <c r="H927" s="5" t="n"/>
    </row>
    <row r="928">
      <c r="B928" s="6" t="n"/>
      <c r="F928">
        <f>D928*E928</f>
        <v/>
      </c>
      <c r="G928">
        <f>IF($F928&gt;=20,"Critical",IF($F928&gt;=15,"High",IF($F928&gt;=10,"Medium",IF($F928&gt;=5,"Low",IF($F928&gt;0,"Very Low","")))))</f>
        <v/>
      </c>
      <c r="H928" s="5" t="n"/>
    </row>
    <row r="929">
      <c r="B929" s="6" t="n"/>
      <c r="F929">
        <f>D929*E929</f>
        <v/>
      </c>
      <c r="G929">
        <f>IF($F929&gt;=20,"Critical",IF($F929&gt;=15,"High",IF($F929&gt;=10,"Medium",IF($F929&gt;=5,"Low",IF($F929&gt;0,"Very Low","")))))</f>
        <v/>
      </c>
      <c r="H929" s="5" t="n"/>
    </row>
    <row r="930">
      <c r="B930" s="6" t="n"/>
      <c r="F930">
        <f>D930*E930</f>
        <v/>
      </c>
      <c r="G930">
        <f>IF($F930&gt;=20,"Critical",IF($F930&gt;=15,"High",IF($F930&gt;=10,"Medium",IF($F930&gt;=5,"Low",IF($F930&gt;0,"Very Low","")))))</f>
        <v/>
      </c>
      <c r="H930" s="5" t="n"/>
    </row>
    <row r="931">
      <c r="B931" s="6" t="n"/>
      <c r="F931">
        <f>D931*E931</f>
        <v/>
      </c>
      <c r="G931">
        <f>IF($F931&gt;=20,"Critical",IF($F931&gt;=15,"High",IF($F931&gt;=10,"Medium",IF($F931&gt;=5,"Low",IF($F931&gt;0,"Very Low","")))))</f>
        <v/>
      </c>
      <c r="H931" s="5" t="n"/>
    </row>
    <row r="932">
      <c r="B932" s="6" t="n"/>
      <c r="F932">
        <f>D932*E932</f>
        <v/>
      </c>
      <c r="G932">
        <f>IF($F932&gt;=20,"Critical",IF($F932&gt;=15,"High",IF($F932&gt;=10,"Medium",IF($F932&gt;=5,"Low",IF($F932&gt;0,"Very Low","")))))</f>
        <v/>
      </c>
      <c r="H932" s="5" t="n"/>
    </row>
    <row r="933">
      <c r="B933" s="6" t="n"/>
      <c r="F933">
        <f>D933*E933</f>
        <v/>
      </c>
      <c r="G933">
        <f>IF($F933&gt;=20,"Critical",IF($F933&gt;=15,"High",IF($F933&gt;=10,"Medium",IF($F933&gt;=5,"Low",IF($F933&gt;0,"Very Low","")))))</f>
        <v/>
      </c>
      <c r="H933" s="5" t="n"/>
    </row>
    <row r="934">
      <c r="B934" s="6" t="n"/>
      <c r="F934">
        <f>D934*E934</f>
        <v/>
      </c>
      <c r="G934">
        <f>IF($F934&gt;=20,"Critical",IF($F934&gt;=15,"High",IF($F934&gt;=10,"Medium",IF($F934&gt;=5,"Low",IF($F934&gt;0,"Very Low","")))))</f>
        <v/>
      </c>
      <c r="H934" s="5" t="n"/>
    </row>
    <row r="935">
      <c r="B935" s="6" t="n"/>
      <c r="F935">
        <f>D935*E935</f>
        <v/>
      </c>
      <c r="G935">
        <f>IF($F935&gt;=20,"Critical",IF($F935&gt;=15,"High",IF($F935&gt;=10,"Medium",IF($F935&gt;=5,"Low",IF($F935&gt;0,"Very Low","")))))</f>
        <v/>
      </c>
      <c r="H935" s="5" t="n"/>
    </row>
    <row r="936">
      <c r="B936" s="6" t="n"/>
      <c r="F936">
        <f>D936*E936</f>
        <v/>
      </c>
      <c r="G936">
        <f>IF($F936&gt;=20,"Critical",IF($F936&gt;=15,"High",IF($F936&gt;=10,"Medium",IF($F936&gt;=5,"Low",IF($F936&gt;0,"Very Low","")))))</f>
        <v/>
      </c>
      <c r="H936" s="5" t="n"/>
    </row>
    <row r="937">
      <c r="B937" s="6" t="n"/>
      <c r="F937">
        <f>D937*E937</f>
        <v/>
      </c>
      <c r="G937">
        <f>IF($F937&gt;=20,"Critical",IF($F937&gt;=15,"High",IF($F937&gt;=10,"Medium",IF($F937&gt;=5,"Low",IF($F937&gt;0,"Very Low","")))))</f>
        <v/>
      </c>
      <c r="H937" s="5" t="n"/>
    </row>
    <row r="938">
      <c r="B938" s="6" t="n"/>
      <c r="F938">
        <f>D938*E938</f>
        <v/>
      </c>
      <c r="G938">
        <f>IF($F938&gt;=20,"Critical",IF($F938&gt;=15,"High",IF($F938&gt;=10,"Medium",IF($F938&gt;=5,"Low",IF($F938&gt;0,"Very Low","")))))</f>
        <v/>
      </c>
      <c r="H938" s="5" t="n"/>
    </row>
    <row r="939">
      <c r="B939" s="6" t="n"/>
      <c r="F939">
        <f>D939*E939</f>
        <v/>
      </c>
      <c r="G939">
        <f>IF($F939&gt;=20,"Critical",IF($F939&gt;=15,"High",IF($F939&gt;=10,"Medium",IF($F939&gt;=5,"Low",IF($F939&gt;0,"Very Low","")))))</f>
        <v/>
      </c>
      <c r="H939" s="5" t="n"/>
    </row>
    <row r="940">
      <c r="B940" s="6" t="n"/>
      <c r="F940">
        <f>D940*E940</f>
        <v/>
      </c>
      <c r="G940">
        <f>IF($F940&gt;=20,"Critical",IF($F940&gt;=15,"High",IF($F940&gt;=10,"Medium",IF($F940&gt;=5,"Low",IF($F940&gt;0,"Very Low","")))))</f>
        <v/>
      </c>
      <c r="H940" s="5" t="n"/>
    </row>
    <row r="941">
      <c r="B941" s="6" t="n"/>
      <c r="F941">
        <f>D941*E941</f>
        <v/>
      </c>
      <c r="G941">
        <f>IF($F941&gt;=20,"Critical",IF($F941&gt;=15,"High",IF($F941&gt;=10,"Medium",IF($F941&gt;=5,"Low",IF($F941&gt;0,"Very Low","")))))</f>
        <v/>
      </c>
      <c r="H941" s="5" t="n"/>
    </row>
    <row r="942">
      <c r="B942" s="6" t="n"/>
      <c r="F942">
        <f>D942*E942</f>
        <v/>
      </c>
      <c r="G942">
        <f>IF($F942&gt;=20,"Critical",IF($F942&gt;=15,"High",IF($F942&gt;=10,"Medium",IF($F942&gt;=5,"Low",IF($F942&gt;0,"Very Low","")))))</f>
        <v/>
      </c>
      <c r="H942" s="5" t="n"/>
    </row>
    <row r="943">
      <c r="B943" s="6" t="n"/>
      <c r="F943">
        <f>D943*E943</f>
        <v/>
      </c>
      <c r="G943">
        <f>IF($F943&gt;=20,"Critical",IF($F943&gt;=15,"High",IF($F943&gt;=10,"Medium",IF($F943&gt;=5,"Low",IF($F943&gt;0,"Very Low","")))))</f>
        <v/>
      </c>
      <c r="H943" s="5" t="n"/>
    </row>
    <row r="944">
      <c r="B944" s="6" t="n"/>
      <c r="F944">
        <f>D944*E944</f>
        <v/>
      </c>
      <c r="G944">
        <f>IF($F944&gt;=20,"Critical",IF($F944&gt;=15,"High",IF($F944&gt;=10,"Medium",IF($F944&gt;=5,"Low",IF($F944&gt;0,"Very Low","")))))</f>
        <v/>
      </c>
      <c r="H944" s="5" t="n"/>
    </row>
    <row r="945">
      <c r="B945" s="6" t="n"/>
      <c r="F945">
        <f>D945*E945</f>
        <v/>
      </c>
      <c r="G945">
        <f>IF($F945&gt;=20,"Critical",IF($F945&gt;=15,"High",IF($F945&gt;=10,"Medium",IF($F945&gt;=5,"Low",IF($F945&gt;0,"Very Low","")))))</f>
        <v/>
      </c>
      <c r="H945" s="5" t="n"/>
    </row>
    <row r="946">
      <c r="B946" s="6" t="n"/>
      <c r="F946">
        <f>D946*E946</f>
        <v/>
      </c>
      <c r="G946">
        <f>IF($F946&gt;=20,"Critical",IF($F946&gt;=15,"High",IF($F946&gt;=10,"Medium",IF($F946&gt;=5,"Low",IF($F946&gt;0,"Very Low","")))))</f>
        <v/>
      </c>
      <c r="H946" s="5" t="n"/>
    </row>
    <row r="947">
      <c r="B947" s="6" t="n"/>
      <c r="F947">
        <f>D947*E947</f>
        <v/>
      </c>
      <c r="G947">
        <f>IF($F947&gt;=20,"Critical",IF($F947&gt;=15,"High",IF($F947&gt;=10,"Medium",IF($F947&gt;=5,"Low",IF($F947&gt;0,"Very Low","")))))</f>
        <v/>
      </c>
      <c r="H947" s="5" t="n"/>
    </row>
    <row r="948">
      <c r="B948" s="6" t="n"/>
      <c r="F948">
        <f>D948*E948</f>
        <v/>
      </c>
      <c r="G948">
        <f>IF($F948&gt;=20,"Critical",IF($F948&gt;=15,"High",IF($F948&gt;=10,"Medium",IF($F948&gt;=5,"Low",IF($F948&gt;0,"Very Low","")))))</f>
        <v/>
      </c>
      <c r="H948" s="5" t="n"/>
    </row>
    <row r="949">
      <c r="B949" s="6" t="n"/>
      <c r="F949">
        <f>D949*E949</f>
        <v/>
      </c>
      <c r="G949">
        <f>IF($F949&gt;=20,"Critical",IF($F949&gt;=15,"High",IF($F949&gt;=10,"Medium",IF($F949&gt;=5,"Low",IF($F949&gt;0,"Very Low","")))))</f>
        <v/>
      </c>
      <c r="H949" s="5" t="n"/>
    </row>
    <row r="950">
      <c r="B950" s="6" t="n"/>
      <c r="F950">
        <f>D950*E950</f>
        <v/>
      </c>
      <c r="G950">
        <f>IF($F950&gt;=20,"Critical",IF($F950&gt;=15,"High",IF($F950&gt;=10,"Medium",IF($F950&gt;=5,"Low",IF($F950&gt;0,"Very Low","")))))</f>
        <v/>
      </c>
      <c r="H950" s="5" t="n"/>
    </row>
    <row r="951">
      <c r="B951" s="6" t="n"/>
      <c r="F951">
        <f>D951*E951</f>
        <v/>
      </c>
      <c r="G951">
        <f>IF($F951&gt;=20,"Critical",IF($F951&gt;=15,"High",IF($F951&gt;=10,"Medium",IF($F951&gt;=5,"Low",IF($F951&gt;0,"Very Low","")))))</f>
        <v/>
      </c>
      <c r="H951" s="5" t="n"/>
    </row>
    <row r="952">
      <c r="B952" s="6" t="n"/>
      <c r="F952">
        <f>D952*E952</f>
        <v/>
      </c>
      <c r="G952">
        <f>IF($F952&gt;=20,"Critical",IF($F952&gt;=15,"High",IF($F952&gt;=10,"Medium",IF($F952&gt;=5,"Low",IF($F952&gt;0,"Very Low","")))))</f>
        <v/>
      </c>
      <c r="H952" s="5" t="n"/>
    </row>
    <row r="953">
      <c r="B953" s="6" t="n"/>
      <c r="F953">
        <f>D953*E953</f>
        <v/>
      </c>
      <c r="G953">
        <f>IF($F953&gt;=20,"Critical",IF($F953&gt;=15,"High",IF($F953&gt;=10,"Medium",IF($F953&gt;=5,"Low",IF($F953&gt;0,"Very Low","")))))</f>
        <v/>
      </c>
      <c r="H953" s="5" t="n"/>
    </row>
    <row r="954">
      <c r="B954" s="6" t="n"/>
      <c r="F954">
        <f>D954*E954</f>
        <v/>
      </c>
      <c r="G954">
        <f>IF($F954&gt;=20,"Critical",IF($F954&gt;=15,"High",IF($F954&gt;=10,"Medium",IF($F954&gt;=5,"Low",IF($F954&gt;0,"Very Low","")))))</f>
        <v/>
      </c>
      <c r="H954" s="5" t="n"/>
    </row>
    <row r="955">
      <c r="B955" s="6" t="n"/>
      <c r="F955">
        <f>D955*E955</f>
        <v/>
      </c>
      <c r="G955">
        <f>IF($F955&gt;=20,"Critical",IF($F955&gt;=15,"High",IF($F955&gt;=10,"Medium",IF($F955&gt;=5,"Low",IF($F955&gt;0,"Very Low","")))))</f>
        <v/>
      </c>
      <c r="H955" s="5" t="n"/>
    </row>
    <row r="956">
      <c r="B956" s="6" t="n"/>
      <c r="F956">
        <f>D956*E956</f>
        <v/>
      </c>
      <c r="G956">
        <f>IF($F956&gt;=20,"Critical",IF($F956&gt;=15,"High",IF($F956&gt;=10,"Medium",IF($F956&gt;=5,"Low",IF($F956&gt;0,"Very Low","")))))</f>
        <v/>
      </c>
      <c r="H956" s="5" t="n"/>
    </row>
    <row r="957">
      <c r="B957" s="6" t="n"/>
      <c r="F957">
        <f>D957*E957</f>
        <v/>
      </c>
      <c r="G957">
        <f>IF($F957&gt;=20,"Critical",IF($F957&gt;=15,"High",IF($F957&gt;=10,"Medium",IF($F957&gt;=5,"Low",IF($F957&gt;0,"Very Low","")))))</f>
        <v/>
      </c>
      <c r="H957" s="5" t="n"/>
    </row>
    <row r="958">
      <c r="B958" s="6" t="n"/>
      <c r="F958">
        <f>D958*E958</f>
        <v/>
      </c>
      <c r="G958">
        <f>IF($F958&gt;=20,"Critical",IF($F958&gt;=15,"High",IF($F958&gt;=10,"Medium",IF($F958&gt;=5,"Low",IF($F958&gt;0,"Very Low","")))))</f>
        <v/>
      </c>
      <c r="H958" s="5" t="n"/>
    </row>
    <row r="959">
      <c r="B959" s="6" t="n"/>
      <c r="F959">
        <f>D959*E959</f>
        <v/>
      </c>
      <c r="G959">
        <f>IF($F959&gt;=20,"Critical",IF($F959&gt;=15,"High",IF($F959&gt;=10,"Medium",IF($F959&gt;=5,"Low",IF($F959&gt;0,"Very Low","")))))</f>
        <v/>
      </c>
      <c r="H959" s="5" t="n"/>
    </row>
    <row r="960">
      <c r="B960" s="6" t="n"/>
      <c r="F960">
        <f>D960*E960</f>
        <v/>
      </c>
      <c r="G960">
        <f>IF($F960&gt;=20,"Critical",IF($F960&gt;=15,"High",IF($F960&gt;=10,"Medium",IF($F960&gt;=5,"Low",IF($F960&gt;0,"Very Low","")))))</f>
        <v/>
      </c>
      <c r="H960" s="5" t="n"/>
    </row>
    <row r="961">
      <c r="B961" s="6" t="n"/>
      <c r="F961">
        <f>D961*E961</f>
        <v/>
      </c>
      <c r="G961">
        <f>IF($F961&gt;=20,"Critical",IF($F961&gt;=15,"High",IF($F961&gt;=10,"Medium",IF($F961&gt;=5,"Low",IF($F961&gt;0,"Very Low","")))))</f>
        <v/>
      </c>
      <c r="H961" s="5" t="n"/>
    </row>
    <row r="962">
      <c r="B962" s="6" t="n"/>
      <c r="F962">
        <f>D962*E962</f>
        <v/>
      </c>
      <c r="G962">
        <f>IF($F962&gt;=20,"Critical",IF($F962&gt;=15,"High",IF($F962&gt;=10,"Medium",IF($F962&gt;=5,"Low",IF($F962&gt;0,"Very Low","")))))</f>
        <v/>
      </c>
      <c r="H962" s="5" t="n"/>
    </row>
    <row r="963">
      <c r="B963" s="6" t="n"/>
      <c r="F963">
        <f>D963*E963</f>
        <v/>
      </c>
      <c r="G963">
        <f>IF($F963&gt;=20,"Critical",IF($F963&gt;=15,"High",IF($F963&gt;=10,"Medium",IF($F963&gt;=5,"Low",IF($F963&gt;0,"Very Low","")))))</f>
        <v/>
      </c>
      <c r="H963" s="5" t="n"/>
    </row>
    <row r="964">
      <c r="B964" s="6" t="n"/>
      <c r="F964">
        <f>D964*E964</f>
        <v/>
      </c>
      <c r="G964">
        <f>IF($F964&gt;=20,"Critical",IF($F964&gt;=15,"High",IF($F964&gt;=10,"Medium",IF($F964&gt;=5,"Low",IF($F964&gt;0,"Very Low","")))))</f>
        <v/>
      </c>
      <c r="H964" s="5" t="n"/>
    </row>
    <row r="965">
      <c r="B965" s="6" t="n"/>
      <c r="F965">
        <f>D965*E965</f>
        <v/>
      </c>
      <c r="G965">
        <f>IF($F965&gt;=20,"Critical",IF($F965&gt;=15,"High",IF($F965&gt;=10,"Medium",IF($F965&gt;=5,"Low",IF($F965&gt;0,"Very Low","")))))</f>
        <v/>
      </c>
      <c r="H965" s="5" t="n"/>
    </row>
    <row r="966">
      <c r="B966" s="6" t="n"/>
      <c r="F966">
        <f>D966*E966</f>
        <v/>
      </c>
      <c r="G966">
        <f>IF($F966&gt;=20,"Critical",IF($F966&gt;=15,"High",IF($F966&gt;=10,"Medium",IF($F966&gt;=5,"Low",IF($F966&gt;0,"Very Low","")))))</f>
        <v/>
      </c>
      <c r="H966" s="5" t="n"/>
    </row>
    <row r="967">
      <c r="B967" s="6" t="n"/>
      <c r="F967">
        <f>D967*E967</f>
        <v/>
      </c>
      <c r="G967">
        <f>IF($F967&gt;=20,"Critical",IF($F967&gt;=15,"High",IF($F967&gt;=10,"Medium",IF($F967&gt;=5,"Low",IF($F967&gt;0,"Very Low","")))))</f>
        <v/>
      </c>
      <c r="H967" s="5" t="n"/>
    </row>
    <row r="968">
      <c r="B968" s="6" t="n"/>
      <c r="F968">
        <f>D968*E968</f>
        <v/>
      </c>
      <c r="G968">
        <f>IF($F968&gt;=20,"Critical",IF($F968&gt;=15,"High",IF($F968&gt;=10,"Medium",IF($F968&gt;=5,"Low",IF($F968&gt;0,"Very Low","")))))</f>
        <v/>
      </c>
      <c r="H968" s="5" t="n"/>
    </row>
    <row r="969">
      <c r="B969" s="6" t="n"/>
      <c r="F969">
        <f>D969*E969</f>
        <v/>
      </c>
      <c r="G969">
        <f>IF($F969&gt;=20,"Critical",IF($F969&gt;=15,"High",IF($F969&gt;=10,"Medium",IF($F969&gt;=5,"Low",IF($F969&gt;0,"Very Low","")))))</f>
        <v/>
      </c>
      <c r="H969" s="5" t="n"/>
    </row>
    <row r="970">
      <c r="B970" s="6" t="n"/>
      <c r="F970">
        <f>D970*E970</f>
        <v/>
      </c>
      <c r="G970">
        <f>IF($F970&gt;=20,"Critical",IF($F970&gt;=15,"High",IF($F970&gt;=10,"Medium",IF($F970&gt;=5,"Low",IF($F970&gt;0,"Very Low","")))))</f>
        <v/>
      </c>
      <c r="H970" s="5" t="n"/>
    </row>
    <row r="971">
      <c r="B971" s="6" t="n"/>
      <c r="F971">
        <f>D971*E971</f>
        <v/>
      </c>
      <c r="G971">
        <f>IF($F971&gt;=20,"Critical",IF($F971&gt;=15,"High",IF($F971&gt;=10,"Medium",IF($F971&gt;=5,"Low",IF($F971&gt;0,"Very Low","")))))</f>
        <v/>
      </c>
      <c r="H971" s="5" t="n"/>
    </row>
    <row r="972">
      <c r="B972" s="6" t="n"/>
      <c r="F972">
        <f>D972*E972</f>
        <v/>
      </c>
      <c r="G972">
        <f>IF($F972&gt;=20,"Critical",IF($F972&gt;=15,"High",IF($F972&gt;=10,"Medium",IF($F972&gt;=5,"Low",IF($F972&gt;0,"Very Low","")))))</f>
        <v/>
      </c>
      <c r="H972" s="5" t="n"/>
    </row>
    <row r="973">
      <c r="B973" s="6" t="n"/>
      <c r="F973">
        <f>D973*E973</f>
        <v/>
      </c>
      <c r="G973">
        <f>IF($F973&gt;=20,"Critical",IF($F973&gt;=15,"High",IF($F973&gt;=10,"Medium",IF($F973&gt;=5,"Low",IF($F973&gt;0,"Very Low","")))))</f>
        <v/>
      </c>
      <c r="H973" s="5" t="n"/>
    </row>
    <row r="974">
      <c r="B974" s="6" t="n"/>
      <c r="F974">
        <f>D974*E974</f>
        <v/>
      </c>
      <c r="G974">
        <f>IF($F974&gt;=20,"Critical",IF($F974&gt;=15,"High",IF($F974&gt;=10,"Medium",IF($F974&gt;=5,"Low",IF($F974&gt;0,"Very Low","")))))</f>
        <v/>
      </c>
      <c r="H974" s="5" t="n"/>
    </row>
    <row r="975">
      <c r="B975" s="6" t="n"/>
      <c r="F975">
        <f>D975*E975</f>
        <v/>
      </c>
      <c r="G975">
        <f>IF($F975&gt;=20,"Critical",IF($F975&gt;=15,"High",IF($F975&gt;=10,"Medium",IF($F975&gt;=5,"Low",IF($F975&gt;0,"Very Low","")))))</f>
        <v/>
      </c>
      <c r="H975" s="5" t="n"/>
    </row>
    <row r="976">
      <c r="B976" s="6" t="n"/>
      <c r="F976">
        <f>D976*E976</f>
        <v/>
      </c>
      <c r="G976">
        <f>IF($F976&gt;=20,"Critical",IF($F976&gt;=15,"High",IF($F976&gt;=10,"Medium",IF($F976&gt;=5,"Low",IF($F976&gt;0,"Very Low","")))))</f>
        <v/>
      </c>
      <c r="H976" s="5" t="n"/>
    </row>
    <row r="977">
      <c r="B977" s="6" t="n"/>
      <c r="F977">
        <f>D977*E977</f>
        <v/>
      </c>
      <c r="G977">
        <f>IF($F977&gt;=20,"Critical",IF($F977&gt;=15,"High",IF($F977&gt;=10,"Medium",IF($F977&gt;=5,"Low",IF($F977&gt;0,"Very Low","")))))</f>
        <v/>
      </c>
      <c r="H977" s="5" t="n"/>
    </row>
    <row r="978">
      <c r="B978" s="6" t="n"/>
      <c r="F978">
        <f>D978*E978</f>
        <v/>
      </c>
      <c r="G978">
        <f>IF($F978&gt;=20,"Critical",IF($F978&gt;=15,"High",IF($F978&gt;=10,"Medium",IF($F978&gt;=5,"Low",IF($F978&gt;0,"Very Low","")))))</f>
        <v/>
      </c>
      <c r="H978" s="5" t="n"/>
    </row>
    <row r="979">
      <c r="B979" s="6" t="n"/>
      <c r="F979">
        <f>D979*E979</f>
        <v/>
      </c>
      <c r="G979">
        <f>IF($F979&gt;=20,"Critical",IF($F979&gt;=15,"High",IF($F979&gt;=10,"Medium",IF($F979&gt;=5,"Low",IF($F979&gt;0,"Very Low","")))))</f>
        <v/>
      </c>
      <c r="H979" s="5" t="n"/>
    </row>
    <row r="980">
      <c r="B980" s="6" t="n"/>
      <c r="F980">
        <f>D980*E980</f>
        <v/>
      </c>
      <c r="G980">
        <f>IF($F980&gt;=20,"Critical",IF($F980&gt;=15,"High",IF($F980&gt;=10,"Medium",IF($F980&gt;=5,"Low",IF($F980&gt;0,"Very Low","")))))</f>
        <v/>
      </c>
      <c r="H980" s="5" t="n"/>
    </row>
    <row r="981">
      <c r="B981" s="6" t="n"/>
      <c r="F981">
        <f>D981*E981</f>
        <v/>
      </c>
      <c r="G981">
        <f>IF($F981&gt;=20,"Critical",IF($F981&gt;=15,"High",IF($F981&gt;=10,"Medium",IF($F981&gt;=5,"Low",IF($F981&gt;0,"Very Low","")))))</f>
        <v/>
      </c>
      <c r="H981" s="5" t="n"/>
    </row>
    <row r="982">
      <c r="B982" s="6" t="n"/>
      <c r="F982">
        <f>D982*E982</f>
        <v/>
      </c>
      <c r="G982">
        <f>IF($F982&gt;=20,"Critical",IF($F982&gt;=15,"High",IF($F982&gt;=10,"Medium",IF($F982&gt;=5,"Low",IF($F982&gt;0,"Very Low","")))))</f>
        <v/>
      </c>
      <c r="H982" s="5" t="n"/>
    </row>
    <row r="983">
      <c r="B983" s="6" t="n"/>
      <c r="F983">
        <f>D983*E983</f>
        <v/>
      </c>
      <c r="G983">
        <f>IF($F983&gt;=20,"Critical",IF($F983&gt;=15,"High",IF($F983&gt;=10,"Medium",IF($F983&gt;=5,"Low",IF($F983&gt;0,"Very Low","")))))</f>
        <v/>
      </c>
      <c r="H983" s="5" t="n"/>
    </row>
    <row r="984">
      <c r="B984" s="6" t="n"/>
      <c r="F984">
        <f>D984*E984</f>
        <v/>
      </c>
      <c r="G984">
        <f>IF($F984&gt;=20,"Critical",IF($F984&gt;=15,"High",IF($F984&gt;=10,"Medium",IF($F984&gt;=5,"Low",IF($F984&gt;0,"Very Low","")))))</f>
        <v/>
      </c>
      <c r="H984" s="5" t="n"/>
    </row>
    <row r="985">
      <c r="B985" s="6" t="n"/>
      <c r="F985">
        <f>D985*E985</f>
        <v/>
      </c>
      <c r="G985">
        <f>IF($F985&gt;=20,"Critical",IF($F985&gt;=15,"High",IF($F985&gt;=10,"Medium",IF($F985&gt;=5,"Low",IF($F985&gt;0,"Very Low","")))))</f>
        <v/>
      </c>
      <c r="H985" s="5" t="n"/>
    </row>
    <row r="986">
      <c r="B986" s="6" t="n"/>
      <c r="F986">
        <f>D986*E986</f>
        <v/>
      </c>
      <c r="G986">
        <f>IF($F986&gt;=20,"Critical",IF($F986&gt;=15,"High",IF($F986&gt;=10,"Medium",IF($F986&gt;=5,"Low",IF($F986&gt;0,"Very Low","")))))</f>
        <v/>
      </c>
      <c r="H986" s="5" t="n"/>
    </row>
    <row r="987">
      <c r="B987" s="6" t="n"/>
      <c r="F987">
        <f>D987*E987</f>
        <v/>
      </c>
      <c r="G987">
        <f>IF($F987&gt;=20,"Critical",IF($F987&gt;=15,"High",IF($F987&gt;=10,"Medium",IF($F987&gt;=5,"Low",IF($F987&gt;0,"Very Low","")))))</f>
        <v/>
      </c>
      <c r="H987" s="5" t="n"/>
    </row>
    <row r="988">
      <c r="B988" s="6" t="n"/>
      <c r="F988">
        <f>D988*E988</f>
        <v/>
      </c>
      <c r="G988">
        <f>IF($F988&gt;=20,"Critical",IF($F988&gt;=15,"High",IF($F988&gt;=10,"Medium",IF($F988&gt;=5,"Low",IF($F988&gt;0,"Very Low","")))))</f>
        <v/>
      </c>
      <c r="H988" s="5" t="n"/>
    </row>
    <row r="989">
      <c r="B989" s="6" t="n"/>
      <c r="F989">
        <f>D989*E989</f>
        <v/>
      </c>
      <c r="G989">
        <f>IF($F989&gt;=20,"Critical",IF($F989&gt;=15,"High",IF($F989&gt;=10,"Medium",IF($F989&gt;=5,"Low",IF($F989&gt;0,"Very Low","")))))</f>
        <v/>
      </c>
      <c r="H989" s="5" t="n"/>
    </row>
    <row r="990">
      <c r="B990" s="6" t="n"/>
      <c r="F990">
        <f>D990*E990</f>
        <v/>
      </c>
      <c r="G990">
        <f>IF($F990&gt;=20,"Critical",IF($F990&gt;=15,"High",IF($F990&gt;=10,"Medium",IF($F990&gt;=5,"Low",IF($F990&gt;0,"Very Low","")))))</f>
        <v/>
      </c>
      <c r="H990" s="5" t="n"/>
    </row>
    <row r="991">
      <c r="B991" s="6" t="n"/>
      <c r="F991">
        <f>D991*E991</f>
        <v/>
      </c>
      <c r="G991">
        <f>IF($F991&gt;=20,"Critical",IF($F991&gt;=15,"High",IF($F991&gt;=10,"Medium",IF($F991&gt;=5,"Low",IF($F991&gt;0,"Very Low","")))))</f>
        <v/>
      </c>
      <c r="H991" s="5" t="n"/>
    </row>
    <row r="992">
      <c r="B992" s="6" t="n"/>
      <c r="F992">
        <f>D992*E992</f>
        <v/>
      </c>
      <c r="G992">
        <f>IF($F992&gt;=20,"Critical",IF($F992&gt;=15,"High",IF($F992&gt;=10,"Medium",IF($F992&gt;=5,"Low",IF($F992&gt;0,"Very Low","")))))</f>
        <v/>
      </c>
      <c r="H992" s="5" t="n"/>
    </row>
    <row r="993">
      <c r="B993" s="6" t="n"/>
      <c r="F993">
        <f>D993*E993</f>
        <v/>
      </c>
      <c r="G993">
        <f>IF($F993&gt;=20,"Critical",IF($F993&gt;=15,"High",IF($F993&gt;=10,"Medium",IF($F993&gt;=5,"Low",IF($F993&gt;0,"Very Low","")))))</f>
        <v/>
      </c>
      <c r="H993" s="5" t="n"/>
    </row>
    <row r="994">
      <c r="B994" s="6" t="n"/>
      <c r="F994">
        <f>D994*E994</f>
        <v/>
      </c>
      <c r="G994">
        <f>IF($F994&gt;=20,"Critical",IF($F994&gt;=15,"High",IF($F994&gt;=10,"Medium",IF($F994&gt;=5,"Low",IF($F994&gt;0,"Very Low","")))))</f>
        <v/>
      </c>
      <c r="H994" s="5" t="n"/>
    </row>
    <row r="995">
      <c r="B995" s="6" t="n"/>
      <c r="F995">
        <f>D995*E995</f>
        <v/>
      </c>
      <c r="G995">
        <f>IF($F995&gt;=20,"Critical",IF($F995&gt;=15,"High",IF($F995&gt;=10,"Medium",IF($F995&gt;=5,"Low",IF($F995&gt;0,"Very Low","")))))</f>
        <v/>
      </c>
      <c r="H995" s="5" t="n"/>
    </row>
    <row r="996">
      <c r="B996" s="6" t="n"/>
      <c r="F996">
        <f>D996*E996</f>
        <v/>
      </c>
      <c r="G996">
        <f>IF($F996&gt;=20,"Critical",IF($F996&gt;=15,"High",IF($F996&gt;=10,"Medium",IF($F996&gt;=5,"Low",IF($F996&gt;0,"Very Low","")))))</f>
        <v/>
      </c>
      <c r="H996" s="5" t="n"/>
    </row>
    <row r="997">
      <c r="B997" s="6" t="n"/>
      <c r="F997">
        <f>D997*E997</f>
        <v/>
      </c>
      <c r="G997">
        <f>IF($F997&gt;=20,"Critical",IF($F997&gt;=15,"High",IF($F997&gt;=10,"Medium",IF($F997&gt;=5,"Low",IF($F997&gt;0,"Very Low","")))))</f>
        <v/>
      </c>
      <c r="H997" s="5" t="n"/>
    </row>
    <row r="998">
      <c r="B998" s="6" t="n"/>
      <c r="F998">
        <f>D998*E998</f>
        <v/>
      </c>
      <c r="G998">
        <f>IF($F998&gt;=20,"Critical",IF($F998&gt;=15,"High",IF($F998&gt;=10,"Medium",IF($F998&gt;=5,"Low",IF($F998&gt;0,"Very Low","")))))</f>
        <v/>
      </c>
      <c r="H998" s="5" t="n"/>
    </row>
    <row r="999">
      <c r="B999" s="6" t="n"/>
      <c r="F999">
        <f>D999*E999</f>
        <v/>
      </c>
      <c r="G999">
        <f>IF($F999&gt;=20,"Critical",IF($F999&gt;=15,"High",IF($F999&gt;=10,"Medium",IF($F999&gt;=5,"Low",IF($F999&gt;0,"Very Low","")))))</f>
        <v/>
      </c>
      <c r="H999" s="5" t="n"/>
    </row>
    <row r="1000">
      <c r="B1000" s="6" t="n"/>
      <c r="F1000">
        <f>D1000*E1000</f>
        <v/>
      </c>
      <c r="G1000">
        <f>IF($F1000&gt;=20,"Critical",IF($F1000&gt;=15,"High",IF($F1000&gt;=10,"Medium",IF($F1000&gt;=5,"Low",IF($F1000&gt;0,"Very Low","")))))</f>
        <v/>
      </c>
      <c r="H1000" s="5" t="n"/>
    </row>
    <row r="1001">
      <c r="B1001" s="6" t="n"/>
      <c r="F1001">
        <f>D1001*E1001</f>
        <v/>
      </c>
      <c r="G1001">
        <f>IF($F1001&gt;=20,"Critical",IF($F1001&gt;=15,"High",IF($F1001&gt;=10,"Medium",IF($F1001&gt;=5,"Low",IF($F1001&gt;0,"Very Low","")))))</f>
        <v/>
      </c>
      <c r="H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60" customWidth="1" min="4" max="4"/>
    <col width="30" customWidth="1" min="5" max="5"/>
    <col width="40" customWidth="1" min="6" max="6"/>
    <col width="12" customWidth="1" min="7" max="7"/>
    <col width="12" customWidth="1" min="8" max="8"/>
    <col width="12" customWidth="1" min="9" max="9"/>
    <col width="15" customWidth="1" min="10" max="10"/>
    <col width="5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20" customWidth="1" min="18" max="18"/>
    <col width="50" customWidth="1" min="19" max="19"/>
    <col width="12" customWidth="1" min="20" max="20"/>
    <col width="12" customWidth="1" min="21" max="21"/>
    <col width="40" customWidth="1" min="22" max="22"/>
    <col width="12" customWidth="1" min="23" max="23"/>
    <col width="12" customWidth="1" min="24" max="24"/>
    <col width="15" customWidth="1" min="25" max="25"/>
    <col width="40" customWidth="1" min="26" max="26"/>
  </cols>
  <sheetData>
    <row r="1" ht="28" customHeight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Name</t>
        </is>
      </c>
      <c r="D1" s="1" t="inlineStr">
        <is>
          <t>Risk Description</t>
        </is>
      </c>
      <c r="E1" s="1" t="inlineStr">
        <is>
          <t>Threat Source</t>
        </is>
      </c>
      <c r="F1" s="1" t="inlineStr">
        <is>
          <t>Vulnerabilities</t>
        </is>
      </c>
      <c r="G1" s="1" t="inlineStr">
        <is>
          <t>Likelihood (Inherent)</t>
        </is>
      </c>
      <c r="H1" s="1" t="inlineStr">
        <is>
          <t>Impact (Inherent)</t>
        </is>
      </c>
      <c r="I1" s="1" t="inlineStr">
        <is>
          <t>Inherent Risk Score</t>
        </is>
      </c>
      <c r="J1" s="1" t="inlineStr">
        <is>
          <t>Inherent Risk Rating</t>
        </is>
      </c>
      <c r="K1" s="1" t="inlineStr">
        <is>
          <t>Existing Controls</t>
        </is>
      </c>
      <c r="L1" s="1" t="inlineStr">
        <is>
          <t>Control Effectiveness</t>
        </is>
      </c>
      <c r="M1" s="1" t="inlineStr">
        <is>
          <t>Likelihood (Residual)</t>
        </is>
      </c>
      <c r="N1" s="1" t="inlineStr">
        <is>
          <t>Impact (Residual)</t>
        </is>
      </c>
      <c r="O1" s="1" t="inlineStr">
        <is>
          <t>Residual Risk Score</t>
        </is>
      </c>
      <c r="P1" s="1" t="inlineStr">
        <is>
          <t>Residual Risk Rating</t>
        </is>
      </c>
      <c r="Q1" s="1" t="inlineStr">
        <is>
          <t>Risk Response Strategy</t>
        </is>
      </c>
      <c r="R1" s="1" t="inlineStr">
        <is>
          <t>Risk Owner</t>
        </is>
      </c>
      <c r="S1" s="1" t="inlineStr">
        <is>
          <t>Additional Mitigation Needed</t>
        </is>
      </c>
      <c r="T1" s="1" t="inlineStr">
        <is>
          <t>Target Residual Risk</t>
        </is>
      </c>
      <c r="U1" s="1" t="inlineStr">
        <is>
          <t>Mitigation Priority</t>
        </is>
      </c>
      <c r="V1" s="1" t="inlineStr">
        <is>
          <t>Risk Indicators (KRIs)</t>
        </is>
      </c>
      <c r="W1" s="1" t="inlineStr">
        <is>
          <t>Last Review Date</t>
        </is>
      </c>
      <c r="X1" s="1" t="inlineStr">
        <is>
          <t>Next Review Date</t>
        </is>
      </c>
      <c r="Y1" s="1" t="inlineStr">
        <is>
          <t>Status</t>
        </is>
      </c>
      <c r="Z1" s="1" t="inlineStr">
        <is>
          <t>Notes</t>
        </is>
      </c>
    </row>
    <row r="2">
      <c r="A2" t="inlineStr">
        <is>
          <t>TEMP-001</t>
        </is>
      </c>
      <c r="B2" t="inlineStr">
        <is>
          <t>Cybersecurity and Information Security</t>
        </is>
      </c>
      <c r="C2" t="inlineStr">
        <is>
          <t>Ransomware attack encrypting critical systems</t>
        </is>
      </c>
      <c r="D2" s="5" t="n"/>
      <c r="E2" s="5" t="n"/>
      <c r="F2" s="5" t="n"/>
      <c r="K2" s="5" t="n"/>
      <c r="S2" s="5" t="n"/>
      <c r="V2" s="5" t="n"/>
      <c r="Y2" t="inlineStr">
        <is>
          <t>Monitoring</t>
        </is>
      </c>
      <c r="Z2" s="5" t="n"/>
    </row>
    <row r="3">
      <c r="A3" t="inlineStr">
        <is>
          <t>TEMP-002</t>
        </is>
      </c>
      <c r="B3" t="inlineStr">
        <is>
          <t>Cybersecurity and Information Security</t>
        </is>
      </c>
      <c r="C3" t="inlineStr">
        <is>
          <t>Phishing attack compromising employee credentials</t>
        </is>
      </c>
      <c r="D3" s="5" t="n"/>
      <c r="E3" s="5" t="n"/>
      <c r="F3" s="5" t="n"/>
      <c r="K3" s="5" t="n"/>
      <c r="S3" s="5" t="n"/>
      <c r="V3" s="5" t="n"/>
      <c r="Y3" t="inlineStr">
        <is>
          <t>Monitoring</t>
        </is>
      </c>
      <c r="Z3" s="5" t="n"/>
    </row>
    <row r="4">
      <c r="A4" t="inlineStr">
        <is>
          <t>TEMP-003</t>
        </is>
      </c>
      <c r="B4" t="inlineStr">
        <is>
          <t>Business Continuity and Disaster Recovery</t>
        </is>
      </c>
      <c r="C4" t="inlineStr">
        <is>
          <t>Cloud provider outage causing service disruption</t>
        </is>
      </c>
      <c r="D4" s="5" t="n"/>
      <c r="E4" s="5" t="n"/>
      <c r="F4" s="5" t="n"/>
      <c r="K4" s="5" t="n"/>
      <c r="S4" s="5" t="n"/>
      <c r="V4" s="5" t="n"/>
      <c r="Y4" t="inlineStr">
        <is>
          <t>Monitoring</t>
        </is>
      </c>
      <c r="Z4" s="5" t="n"/>
    </row>
    <row r="5">
      <c r="A5" t="inlineStr">
        <is>
          <t>TEMP-004</t>
        </is>
      </c>
      <c r="B5" t="inlineStr">
        <is>
          <t>Third-Party and Vendor</t>
        </is>
      </c>
      <c r="C5" t="inlineStr">
        <is>
          <t>Critical vendor data breach affecting our data</t>
        </is>
      </c>
      <c r="D5" s="5" t="n"/>
      <c r="E5" s="5" t="n"/>
      <c r="F5" s="5" t="n"/>
      <c r="K5" s="5" t="n"/>
      <c r="S5" s="5" t="n"/>
      <c r="V5" s="5" t="n"/>
      <c r="Y5" t="inlineStr">
        <is>
          <t>Monitoring</t>
        </is>
      </c>
      <c r="Z5" s="5" t="n"/>
    </row>
    <row r="6">
      <c r="A6" t="inlineStr">
        <is>
          <t>TEMP-005</t>
        </is>
      </c>
      <c r="B6" t="inlineStr">
        <is>
          <t>Human Capital and Insider</t>
        </is>
      </c>
      <c r="C6" t="inlineStr">
        <is>
          <t>Insider threat exfiltrating sensitive data</t>
        </is>
      </c>
      <c r="D6" s="5" t="n"/>
      <c r="E6" s="5" t="n"/>
      <c r="F6" s="5" t="n"/>
      <c r="K6" s="5" t="n"/>
      <c r="S6" s="5" t="n"/>
      <c r="V6" s="5" t="n"/>
      <c r="Y6" t="inlineStr">
        <is>
          <t>Monitoring</t>
        </is>
      </c>
      <c r="Z6" s="5" t="n"/>
    </row>
    <row r="7">
      <c r="A7" t="inlineStr">
        <is>
          <t>TEMP-006</t>
        </is>
      </c>
      <c r="B7" t="inlineStr">
        <is>
          <t>Operational and Technology</t>
        </is>
      </c>
      <c r="C7" t="inlineStr">
        <is>
          <t>Failed system migration causing extended outage</t>
        </is>
      </c>
      <c r="D7" s="5" t="n"/>
      <c r="E7" s="5" t="n"/>
      <c r="F7" s="5" t="n"/>
      <c r="K7" s="5" t="n"/>
      <c r="S7" s="5" t="n"/>
      <c r="V7" s="5" t="n"/>
      <c r="Y7" t="inlineStr">
        <is>
          <t>Monitoring</t>
        </is>
      </c>
      <c r="Z7" s="5" t="n"/>
    </row>
    <row r="8">
      <c r="A8" t="inlineStr">
        <is>
          <t>TEMP-007</t>
        </is>
      </c>
      <c r="B8" t="inlineStr">
        <is>
          <t>Compliance and Regulatory</t>
        </is>
      </c>
      <c r="C8" t="inlineStr">
        <is>
          <t>GDPR non-compliance resulting in regulatory fines</t>
        </is>
      </c>
      <c r="D8" s="5" t="n"/>
      <c r="E8" s="5" t="n"/>
      <c r="F8" s="5" t="n"/>
      <c r="K8" s="5" t="n"/>
      <c r="S8" s="5" t="n"/>
      <c r="V8" s="5" t="n"/>
      <c r="Y8" t="inlineStr">
        <is>
          <t>Monitoring</t>
        </is>
      </c>
      <c r="Z8" s="5" t="n"/>
    </row>
    <row r="9">
      <c r="A9" t="inlineStr">
        <is>
          <t>TEMP-008</t>
        </is>
      </c>
      <c r="B9" t="inlineStr">
        <is>
          <t>Human Capital and Insider</t>
        </is>
      </c>
      <c r="C9" t="inlineStr">
        <is>
          <t>Key personnel departure taking critical knowledge</t>
        </is>
      </c>
      <c r="D9" s="5" t="n"/>
      <c r="E9" s="5" t="n"/>
      <c r="F9" s="5" t="n"/>
      <c r="K9" s="5" t="n"/>
      <c r="S9" s="5" t="n"/>
      <c r="V9" s="5" t="n"/>
      <c r="Y9" t="inlineStr">
        <is>
          <t>Monitoring</t>
        </is>
      </c>
      <c r="Z9" s="5" t="n"/>
    </row>
    <row r="10">
      <c r="A10" t="inlineStr">
        <is>
          <t>TEMP-009</t>
        </is>
      </c>
      <c r="B10" t="inlineStr">
        <is>
          <t>Physical and Environmental</t>
        </is>
      </c>
      <c r="C10" t="inlineStr">
        <is>
          <t>Natural disaster destroying primary data center</t>
        </is>
      </c>
      <c r="D10" s="5" t="n"/>
      <c r="E10" s="5" t="n"/>
      <c r="F10" s="5" t="n"/>
      <c r="K10" s="5" t="n"/>
      <c r="S10" s="5" t="n"/>
      <c r="V10" s="5" t="n"/>
      <c r="Y10" t="inlineStr">
        <is>
          <t>Monitoring</t>
        </is>
      </c>
      <c r="Z10" s="5" t="n"/>
    </row>
    <row r="11">
      <c r="A11" t="inlineStr">
        <is>
          <t>TEMP-010</t>
        </is>
      </c>
      <c r="B11" t="inlineStr">
        <is>
          <t>Cybersecurity and Information Security</t>
        </is>
      </c>
      <c r="C11" t="inlineStr">
        <is>
          <t>DDoS attack making services unavailable</t>
        </is>
      </c>
      <c r="D11" s="5" t="n"/>
      <c r="E11" s="5" t="n"/>
      <c r="F11" s="5" t="n"/>
      <c r="K11" s="5" t="n"/>
      <c r="S11" s="5" t="n"/>
      <c r="V11" s="5" t="n"/>
      <c r="Y11" t="inlineStr">
        <is>
          <t>Monitoring</t>
        </is>
      </c>
      <c r="Z11" s="5" t="n"/>
    </row>
    <row r="12">
      <c r="A12" t="inlineStr">
        <is>
          <t>TEMP-011</t>
        </is>
      </c>
      <c r="B12" t="inlineStr">
        <is>
          <t>Cybersecurity and Information Security</t>
        </is>
      </c>
      <c r="C12" t="inlineStr">
        <is>
          <t>Privilege escalation via misconfigured IAM</t>
        </is>
      </c>
      <c r="D12" s="5" t="n"/>
      <c r="E12" s="5" t="n"/>
      <c r="F12" s="5" t="n"/>
      <c r="K12" s="5" t="n"/>
      <c r="S12" s="5" t="n"/>
      <c r="V12" s="5" t="n"/>
      <c r="Y12" t="inlineStr">
        <is>
          <t>Monitoring</t>
        </is>
      </c>
      <c r="Z12" s="5" t="n"/>
    </row>
    <row r="13">
      <c r="A13" t="inlineStr">
        <is>
          <t>TEMP-012</t>
        </is>
      </c>
      <c r="B13" t="inlineStr">
        <is>
          <t>Cybersecurity and Information Security</t>
        </is>
      </c>
      <c r="C13" t="inlineStr">
        <is>
          <t>Compromised API keys used for data extraction</t>
        </is>
      </c>
      <c r="D13" s="5" t="n"/>
      <c r="E13" s="5" t="n"/>
      <c r="F13" s="5" t="n"/>
      <c r="K13" s="5" t="n"/>
      <c r="S13" s="5" t="n"/>
      <c r="V13" s="5" t="n"/>
      <c r="Y13" t="inlineStr">
        <is>
          <t>Monitoring</t>
        </is>
      </c>
      <c r="Z13" s="5" t="n"/>
    </row>
    <row r="14">
      <c r="A14" t="inlineStr">
        <is>
          <t>TEMP-013</t>
        </is>
      </c>
      <c r="B14" t="inlineStr">
        <is>
          <t>Financial and Fraud</t>
        </is>
      </c>
      <c r="C14" t="inlineStr">
        <is>
          <t>Financial fraud through invoice spoofing</t>
        </is>
      </c>
      <c r="D14" s="5" t="n"/>
      <c r="E14" s="5" t="n"/>
      <c r="F14" s="5" t="n"/>
      <c r="K14" s="5" t="n"/>
      <c r="S14" s="5" t="n"/>
      <c r="V14" s="5" t="n"/>
      <c r="Y14" t="inlineStr">
        <is>
          <t>Monitoring</t>
        </is>
      </c>
      <c r="Z14" s="5" t="n"/>
    </row>
    <row r="15">
      <c r="A15" t="inlineStr">
        <is>
          <t>TEMP-014</t>
        </is>
      </c>
      <c r="B15" t="inlineStr">
        <is>
          <t>Reputational and Brand</t>
        </is>
      </c>
      <c r="C15" t="inlineStr">
        <is>
          <t>Public relations crisis due to social media incident</t>
        </is>
      </c>
      <c r="D15" s="5" t="n"/>
      <c r="E15" s="5" t="n"/>
      <c r="F15" s="5" t="n"/>
      <c r="K15" s="5" t="n"/>
      <c r="S15" s="5" t="n"/>
      <c r="V15" s="5" t="n"/>
      <c r="Y15" t="inlineStr">
        <is>
          <t>Monitoring</t>
        </is>
      </c>
      <c r="Z15" s="5" t="n"/>
    </row>
    <row r="16">
      <c r="A16" t="inlineStr">
        <is>
          <t>TEMP-015</t>
        </is>
      </c>
      <c r="B16" t="inlineStr">
        <is>
          <t>Strategic and Market</t>
        </is>
      </c>
      <c r="C16" t="inlineStr">
        <is>
          <t>Loss of major customer due to SLA breaches</t>
        </is>
      </c>
      <c r="D16" s="5" t="n"/>
      <c r="E16" s="5" t="n"/>
      <c r="F16" s="5" t="n"/>
      <c r="K16" s="5" t="n"/>
      <c r="S16" s="5" t="n"/>
      <c r="V16" s="5" t="n"/>
      <c r="Y16" t="inlineStr">
        <is>
          <t>Monitoring</t>
        </is>
      </c>
      <c r="Z16" s="5" t="n"/>
    </row>
    <row r="17">
      <c r="A17" t="inlineStr">
        <is>
          <t>TEMP-016</t>
        </is>
      </c>
      <c r="B17" t="inlineStr">
        <is>
          <t>Third-Party and Vendor</t>
        </is>
      </c>
      <c r="C17" t="inlineStr">
        <is>
          <t>Third-party SaaS outage impacting operations</t>
        </is>
      </c>
      <c r="D17" s="5" t="n"/>
      <c r="E17" s="5" t="n"/>
      <c r="F17" s="5" t="n"/>
      <c r="K17" s="5" t="n"/>
      <c r="S17" s="5" t="n"/>
      <c r="V17" s="5" t="n"/>
      <c r="Y17" t="inlineStr">
        <is>
          <t>Monitoring</t>
        </is>
      </c>
      <c r="Z17" s="5" t="n"/>
    </row>
    <row r="18">
      <c r="A18" t="inlineStr">
        <is>
          <t>TEMP-017</t>
        </is>
      </c>
      <c r="B18" t="inlineStr">
        <is>
          <t>Operational and Technology</t>
        </is>
      </c>
      <c r="C18" t="inlineStr">
        <is>
          <t>Endpoint malware outbreak due to USB devices</t>
        </is>
      </c>
      <c r="D18" s="5" t="n"/>
      <c r="E18" s="5" t="n"/>
      <c r="F18" s="5" t="n"/>
      <c r="K18" s="5" t="n"/>
      <c r="S18" s="5" t="n"/>
      <c r="V18" s="5" t="n"/>
      <c r="Y18" t="inlineStr">
        <is>
          <t>Monitoring</t>
        </is>
      </c>
      <c r="Z18" s="5" t="n"/>
    </row>
    <row r="19">
      <c r="A19" t="inlineStr">
        <is>
          <t>TEMP-018</t>
        </is>
      </c>
      <c r="B19" t="inlineStr">
        <is>
          <t>Business Continuity and Disaster Recovery</t>
        </is>
      </c>
      <c r="C19" t="inlineStr">
        <is>
          <t>Data loss from failed backup restoration</t>
        </is>
      </c>
      <c r="D19" s="5" t="n"/>
      <c r="E19" s="5" t="n"/>
      <c r="F19" s="5" t="n"/>
      <c r="K19" s="5" t="n"/>
      <c r="S19" s="5" t="n"/>
      <c r="V19" s="5" t="n"/>
      <c r="Y19" t="inlineStr">
        <is>
          <t>Monitoring</t>
        </is>
      </c>
      <c r="Z19" s="5" t="n"/>
    </row>
    <row r="20">
      <c r="A20" t="inlineStr">
        <is>
          <t>TEMP-019</t>
        </is>
      </c>
      <c r="B20" t="inlineStr">
        <is>
          <t>Physical and Environmental</t>
        </is>
      </c>
      <c r="C20" t="inlineStr">
        <is>
          <t>Physical break-in compromising servers</t>
        </is>
      </c>
      <c r="D20" s="5" t="n"/>
      <c r="E20" s="5" t="n"/>
      <c r="F20" s="5" t="n"/>
      <c r="K20" s="5" t="n"/>
      <c r="S20" s="5" t="n"/>
      <c r="V20" s="5" t="n"/>
      <c r="Y20" t="inlineStr">
        <is>
          <t>Monitoring</t>
        </is>
      </c>
      <c r="Z20" s="5" t="n"/>
    </row>
    <row r="21">
      <c r="A21" t="inlineStr">
        <is>
          <t>TEMP-020</t>
        </is>
      </c>
      <c r="B21" t="inlineStr">
        <is>
          <t>Compliance and Regulatory</t>
        </is>
      </c>
      <c r="C21" t="inlineStr">
        <is>
          <t>Compliance lapse in SOC 2 controls</t>
        </is>
      </c>
      <c r="D21" s="5" t="n"/>
      <c r="E21" s="5" t="n"/>
      <c r="F21" s="5" t="n"/>
      <c r="K21" s="5" t="n"/>
      <c r="S21" s="5" t="n"/>
      <c r="V21" s="5" t="n"/>
      <c r="Y21" t="inlineStr">
        <is>
          <t>Monitoring</t>
        </is>
      </c>
      <c r="Z21" s="5" t="n"/>
    </row>
    <row r="22">
      <c r="A22" t="inlineStr">
        <is>
          <t>TEMP-021</t>
        </is>
      </c>
      <c r="B22" t="inlineStr">
        <is>
          <t>Operational and Technology</t>
        </is>
      </c>
      <c r="C22" t="inlineStr">
        <is>
          <t>Misconfiguration exposes database to internet</t>
        </is>
      </c>
      <c r="D22" s="5" t="n"/>
      <c r="E22" s="5" t="n"/>
      <c r="F22" s="5" t="n"/>
      <c r="K22" s="5" t="n"/>
      <c r="S22" s="5" t="n"/>
      <c r="V22" s="5" t="n"/>
      <c r="Y22" t="inlineStr">
        <is>
          <t>Monitoring</t>
        </is>
      </c>
      <c r="Z22" s="5" t="n"/>
    </row>
    <row r="23">
      <c r="A23" t="inlineStr">
        <is>
          <t>TEMP-022</t>
        </is>
      </c>
      <c r="B23" t="inlineStr">
        <is>
          <t>Operational and Technology</t>
        </is>
      </c>
      <c r="C23" t="inlineStr">
        <is>
          <t>Supply chain attack via compromised dependency</t>
        </is>
      </c>
      <c r="D23" s="5" t="n"/>
      <c r="E23" s="5" t="n"/>
      <c r="F23" s="5" t="n"/>
      <c r="K23" s="5" t="n"/>
      <c r="S23" s="5" t="n"/>
      <c r="V23" s="5" t="n"/>
      <c r="Y23" t="inlineStr">
        <is>
          <t>Monitoring</t>
        </is>
      </c>
      <c r="Z23" s="5" t="n"/>
    </row>
    <row r="24">
      <c r="A24" t="inlineStr">
        <is>
          <t>TEMP-023</t>
        </is>
      </c>
      <c r="B24" t="inlineStr">
        <is>
          <t>Compliance and Regulatory</t>
        </is>
      </c>
      <c r="C24" t="inlineStr">
        <is>
          <t>Legal action due to privacy incident</t>
        </is>
      </c>
      <c r="D24" s="5" t="n"/>
      <c r="E24" s="5" t="n"/>
      <c r="F24" s="5" t="n"/>
      <c r="K24" s="5" t="n"/>
      <c r="S24" s="5" t="n"/>
      <c r="V24" s="5" t="n"/>
      <c r="Y24" t="inlineStr">
        <is>
          <t>Monitoring</t>
        </is>
      </c>
      <c r="Z24" s="5" t="n"/>
    </row>
    <row r="25">
      <c r="A25" t="inlineStr">
        <is>
          <t>TEMP-024</t>
        </is>
      </c>
      <c r="B25" t="inlineStr">
        <is>
          <t>Cybersecurity and Information Security</t>
        </is>
      </c>
      <c r="C25" t="inlineStr">
        <is>
          <t>Unauthorized access due to weak MFA coverage</t>
        </is>
      </c>
      <c r="D25" s="5" t="n"/>
      <c r="E25" s="5" t="n"/>
      <c r="F25" s="5" t="n"/>
      <c r="K25" s="5" t="n"/>
      <c r="S25" s="5" t="n"/>
      <c r="V25" s="5" t="n"/>
      <c r="Y25" t="inlineStr">
        <is>
          <t>Monitoring</t>
        </is>
      </c>
      <c r="Z25" s="5" t="n"/>
    </row>
    <row r="26">
      <c r="A26" t="inlineStr">
        <is>
          <t>TEMP-025</t>
        </is>
      </c>
      <c r="B26" t="inlineStr">
        <is>
          <t>Operational and Technology</t>
        </is>
      </c>
      <c r="C26" t="inlineStr">
        <is>
          <t>Change failure causing production rollback</t>
        </is>
      </c>
      <c r="D26" s="5" t="n"/>
      <c r="E26" s="5" t="n"/>
      <c r="F26" s="5" t="n"/>
      <c r="K26" s="5" t="n"/>
      <c r="S26" s="5" t="n"/>
      <c r="V26" s="5" t="n"/>
      <c r="Y26" t="inlineStr">
        <is>
          <t>Monitoring</t>
        </is>
      </c>
      <c r="Z26" s="5" t="n"/>
    </row>
    <row r="27">
      <c r="D27" s="5" t="n"/>
      <c r="E27" s="5" t="n"/>
      <c r="F27" s="5" t="n"/>
      <c r="K27" s="5" t="n"/>
      <c r="S27" s="5" t="n"/>
      <c r="V27" s="5" t="n"/>
      <c r="Z27" s="5" t="n"/>
    </row>
    <row r="28">
      <c r="D28" s="5" t="n"/>
      <c r="E28" s="5" t="n"/>
      <c r="F28" s="5" t="n"/>
      <c r="K28" s="5" t="n"/>
      <c r="S28" s="5" t="n"/>
      <c r="V28" s="5" t="n"/>
      <c r="Z28" s="5" t="n"/>
    </row>
    <row r="29">
      <c r="D29" s="5" t="n"/>
      <c r="E29" s="5" t="n"/>
      <c r="F29" s="5" t="n"/>
      <c r="K29" s="5" t="n"/>
      <c r="S29" s="5" t="n"/>
      <c r="V29" s="5" t="n"/>
      <c r="Z29" s="5" t="n"/>
    </row>
    <row r="30">
      <c r="D30" s="5" t="n"/>
      <c r="E30" s="5" t="n"/>
      <c r="F30" s="5" t="n"/>
      <c r="K30" s="5" t="n"/>
      <c r="S30" s="5" t="n"/>
      <c r="V30" s="5" t="n"/>
      <c r="Z30" s="5" t="n"/>
    </row>
    <row r="31">
      <c r="D31" s="5" t="n"/>
      <c r="E31" s="5" t="n"/>
      <c r="F31" s="5" t="n"/>
      <c r="K31" s="5" t="n"/>
      <c r="S31" s="5" t="n"/>
      <c r="V31" s="5" t="n"/>
      <c r="Z31" s="5" t="n"/>
    </row>
    <row r="32">
      <c r="D32" s="5" t="n"/>
      <c r="E32" s="5" t="n"/>
      <c r="F32" s="5" t="n"/>
      <c r="K32" s="5" t="n"/>
      <c r="S32" s="5" t="n"/>
      <c r="V32" s="5" t="n"/>
      <c r="Z32" s="5" t="n"/>
    </row>
    <row r="33">
      <c r="D33" s="5" t="n"/>
      <c r="E33" s="5" t="n"/>
      <c r="F33" s="5" t="n"/>
      <c r="K33" s="5" t="n"/>
      <c r="S33" s="5" t="n"/>
      <c r="V33" s="5" t="n"/>
      <c r="Z33" s="5" t="n"/>
    </row>
    <row r="34">
      <c r="D34" s="5" t="n"/>
      <c r="E34" s="5" t="n"/>
      <c r="F34" s="5" t="n"/>
      <c r="K34" s="5" t="n"/>
      <c r="S34" s="5" t="n"/>
      <c r="V34" s="5" t="n"/>
      <c r="Z34" s="5" t="n"/>
    </row>
    <row r="35">
      <c r="D35" s="5" t="n"/>
      <c r="E35" s="5" t="n"/>
      <c r="F35" s="5" t="n"/>
      <c r="K35" s="5" t="n"/>
      <c r="S35" s="5" t="n"/>
      <c r="V35" s="5" t="n"/>
      <c r="Z35" s="5" t="n"/>
    </row>
    <row r="36">
      <c r="D36" s="5" t="n"/>
      <c r="E36" s="5" t="n"/>
      <c r="F36" s="5" t="n"/>
      <c r="K36" s="5" t="n"/>
      <c r="S36" s="5" t="n"/>
      <c r="V36" s="5" t="n"/>
      <c r="Z36" s="5" t="n"/>
    </row>
    <row r="37">
      <c r="D37" s="5" t="n"/>
      <c r="E37" s="5" t="n"/>
      <c r="F37" s="5" t="n"/>
      <c r="K37" s="5" t="n"/>
      <c r="S37" s="5" t="n"/>
      <c r="V37" s="5" t="n"/>
      <c r="Z37" s="5" t="n"/>
    </row>
    <row r="38">
      <c r="D38" s="5" t="n"/>
      <c r="E38" s="5" t="n"/>
      <c r="F38" s="5" t="n"/>
      <c r="K38" s="5" t="n"/>
      <c r="S38" s="5" t="n"/>
      <c r="V38" s="5" t="n"/>
      <c r="Z38" s="5" t="n"/>
    </row>
    <row r="39">
      <c r="D39" s="5" t="n"/>
      <c r="E39" s="5" t="n"/>
      <c r="F39" s="5" t="n"/>
      <c r="K39" s="5" t="n"/>
      <c r="S39" s="5" t="n"/>
      <c r="V39" s="5" t="n"/>
      <c r="Z39" s="5" t="n"/>
    </row>
    <row r="40">
      <c r="D40" s="5" t="n"/>
      <c r="E40" s="5" t="n"/>
      <c r="F40" s="5" t="n"/>
      <c r="K40" s="5" t="n"/>
      <c r="S40" s="5" t="n"/>
      <c r="V40" s="5" t="n"/>
      <c r="Z40" s="5" t="n"/>
    </row>
    <row r="41">
      <c r="D41" s="5" t="n"/>
      <c r="E41" s="5" t="n"/>
      <c r="F41" s="5" t="n"/>
      <c r="K41" s="5" t="n"/>
      <c r="S41" s="5" t="n"/>
      <c r="V41" s="5" t="n"/>
      <c r="Z41" s="5" t="n"/>
    </row>
    <row r="42">
      <c r="D42" s="5" t="n"/>
      <c r="E42" s="5" t="n"/>
      <c r="F42" s="5" t="n"/>
      <c r="K42" s="5" t="n"/>
      <c r="S42" s="5" t="n"/>
      <c r="V42" s="5" t="n"/>
      <c r="Z42" s="5" t="n"/>
    </row>
    <row r="43">
      <c r="D43" s="5" t="n"/>
      <c r="E43" s="5" t="n"/>
      <c r="F43" s="5" t="n"/>
      <c r="K43" s="5" t="n"/>
      <c r="S43" s="5" t="n"/>
      <c r="V43" s="5" t="n"/>
      <c r="Z43" s="5" t="n"/>
    </row>
    <row r="44">
      <c r="D44" s="5" t="n"/>
      <c r="E44" s="5" t="n"/>
      <c r="F44" s="5" t="n"/>
      <c r="K44" s="5" t="n"/>
      <c r="S44" s="5" t="n"/>
      <c r="V44" s="5" t="n"/>
      <c r="Z44" s="5" t="n"/>
    </row>
    <row r="45">
      <c r="D45" s="5" t="n"/>
      <c r="E45" s="5" t="n"/>
      <c r="F45" s="5" t="n"/>
      <c r="K45" s="5" t="n"/>
      <c r="S45" s="5" t="n"/>
      <c r="V45" s="5" t="n"/>
      <c r="Z45" s="5" t="n"/>
    </row>
    <row r="46">
      <c r="D46" s="5" t="n"/>
      <c r="E46" s="5" t="n"/>
      <c r="F46" s="5" t="n"/>
      <c r="K46" s="5" t="n"/>
      <c r="S46" s="5" t="n"/>
      <c r="V46" s="5" t="n"/>
      <c r="Z46" s="5" t="n"/>
    </row>
    <row r="47">
      <c r="D47" s="5" t="n"/>
      <c r="E47" s="5" t="n"/>
      <c r="F47" s="5" t="n"/>
      <c r="K47" s="5" t="n"/>
      <c r="S47" s="5" t="n"/>
      <c r="V47" s="5" t="n"/>
      <c r="Z47" s="5" t="n"/>
    </row>
    <row r="48">
      <c r="D48" s="5" t="n"/>
      <c r="E48" s="5" t="n"/>
      <c r="F48" s="5" t="n"/>
      <c r="K48" s="5" t="n"/>
      <c r="S48" s="5" t="n"/>
      <c r="V48" s="5" t="n"/>
      <c r="Z48" s="5" t="n"/>
    </row>
    <row r="49">
      <c r="D49" s="5" t="n"/>
      <c r="E49" s="5" t="n"/>
      <c r="F49" s="5" t="n"/>
      <c r="K49" s="5" t="n"/>
      <c r="S49" s="5" t="n"/>
      <c r="V49" s="5" t="n"/>
      <c r="Z49" s="5" t="n"/>
    </row>
    <row r="50">
      <c r="D50" s="5" t="n"/>
      <c r="E50" s="5" t="n"/>
      <c r="F50" s="5" t="n"/>
      <c r="K50" s="5" t="n"/>
      <c r="S50" s="5" t="n"/>
      <c r="V50" s="5" t="n"/>
      <c r="Z50" s="5" t="n"/>
    </row>
    <row r="51">
      <c r="D51" s="5" t="n"/>
      <c r="E51" s="5" t="n"/>
      <c r="F51" s="5" t="n"/>
      <c r="K51" s="5" t="n"/>
      <c r="S51" s="5" t="n"/>
      <c r="V51" s="5" t="n"/>
      <c r="Z51" s="5" t="n"/>
    </row>
    <row r="52">
      <c r="D52" s="5" t="n"/>
      <c r="E52" s="5" t="n"/>
      <c r="F52" s="5" t="n"/>
      <c r="K52" s="5" t="n"/>
      <c r="S52" s="5" t="n"/>
      <c r="V52" s="5" t="n"/>
      <c r="Z52" s="5" t="n"/>
    </row>
    <row r="53">
      <c r="D53" s="5" t="n"/>
      <c r="E53" s="5" t="n"/>
      <c r="F53" s="5" t="n"/>
      <c r="K53" s="5" t="n"/>
      <c r="S53" s="5" t="n"/>
      <c r="V53" s="5" t="n"/>
      <c r="Z53" s="5" t="n"/>
    </row>
    <row r="54">
      <c r="D54" s="5" t="n"/>
      <c r="E54" s="5" t="n"/>
      <c r="F54" s="5" t="n"/>
      <c r="K54" s="5" t="n"/>
      <c r="S54" s="5" t="n"/>
      <c r="V54" s="5" t="n"/>
      <c r="Z54" s="5" t="n"/>
    </row>
    <row r="55">
      <c r="D55" s="5" t="n"/>
      <c r="E55" s="5" t="n"/>
      <c r="F55" s="5" t="n"/>
      <c r="K55" s="5" t="n"/>
      <c r="S55" s="5" t="n"/>
      <c r="V55" s="5" t="n"/>
      <c r="Z55" s="5" t="n"/>
    </row>
    <row r="56">
      <c r="D56" s="5" t="n"/>
      <c r="E56" s="5" t="n"/>
      <c r="F56" s="5" t="n"/>
      <c r="K56" s="5" t="n"/>
      <c r="S56" s="5" t="n"/>
      <c r="V56" s="5" t="n"/>
      <c r="Z56" s="5" t="n"/>
    </row>
    <row r="57">
      <c r="D57" s="5" t="n"/>
      <c r="E57" s="5" t="n"/>
      <c r="F57" s="5" t="n"/>
      <c r="K57" s="5" t="n"/>
      <c r="S57" s="5" t="n"/>
      <c r="V57" s="5" t="n"/>
      <c r="Z57" s="5" t="n"/>
    </row>
    <row r="58">
      <c r="D58" s="5" t="n"/>
      <c r="E58" s="5" t="n"/>
      <c r="F58" s="5" t="n"/>
      <c r="K58" s="5" t="n"/>
      <c r="S58" s="5" t="n"/>
      <c r="V58" s="5" t="n"/>
      <c r="Z58" s="5" t="n"/>
    </row>
    <row r="59">
      <c r="D59" s="5" t="n"/>
      <c r="E59" s="5" t="n"/>
      <c r="F59" s="5" t="n"/>
      <c r="K59" s="5" t="n"/>
      <c r="S59" s="5" t="n"/>
      <c r="V59" s="5" t="n"/>
      <c r="Z59" s="5" t="n"/>
    </row>
    <row r="60">
      <c r="D60" s="5" t="n"/>
      <c r="E60" s="5" t="n"/>
      <c r="F60" s="5" t="n"/>
      <c r="K60" s="5" t="n"/>
      <c r="S60" s="5" t="n"/>
      <c r="V60" s="5" t="n"/>
      <c r="Z60" s="5" t="n"/>
    </row>
    <row r="61">
      <c r="D61" s="5" t="n"/>
      <c r="E61" s="5" t="n"/>
      <c r="F61" s="5" t="n"/>
      <c r="K61" s="5" t="n"/>
      <c r="S61" s="5" t="n"/>
      <c r="V61" s="5" t="n"/>
      <c r="Z61" s="5" t="n"/>
    </row>
    <row r="62">
      <c r="D62" s="5" t="n"/>
      <c r="E62" s="5" t="n"/>
      <c r="F62" s="5" t="n"/>
      <c r="K62" s="5" t="n"/>
      <c r="S62" s="5" t="n"/>
      <c r="V62" s="5" t="n"/>
      <c r="Z62" s="5" t="n"/>
    </row>
    <row r="63">
      <c r="D63" s="5" t="n"/>
      <c r="E63" s="5" t="n"/>
      <c r="F63" s="5" t="n"/>
      <c r="K63" s="5" t="n"/>
      <c r="S63" s="5" t="n"/>
      <c r="V63" s="5" t="n"/>
      <c r="Z63" s="5" t="n"/>
    </row>
    <row r="64">
      <c r="D64" s="5" t="n"/>
      <c r="E64" s="5" t="n"/>
      <c r="F64" s="5" t="n"/>
      <c r="K64" s="5" t="n"/>
      <c r="S64" s="5" t="n"/>
      <c r="V64" s="5" t="n"/>
      <c r="Z64" s="5" t="n"/>
    </row>
    <row r="65">
      <c r="D65" s="5" t="n"/>
      <c r="E65" s="5" t="n"/>
      <c r="F65" s="5" t="n"/>
      <c r="K65" s="5" t="n"/>
      <c r="S65" s="5" t="n"/>
      <c r="V65" s="5" t="n"/>
      <c r="Z65" s="5" t="n"/>
    </row>
    <row r="66">
      <c r="D66" s="5" t="n"/>
      <c r="E66" s="5" t="n"/>
      <c r="F66" s="5" t="n"/>
      <c r="K66" s="5" t="n"/>
      <c r="S66" s="5" t="n"/>
      <c r="V66" s="5" t="n"/>
      <c r="Z66" s="5" t="n"/>
    </row>
    <row r="67">
      <c r="D67" s="5" t="n"/>
      <c r="E67" s="5" t="n"/>
      <c r="F67" s="5" t="n"/>
      <c r="K67" s="5" t="n"/>
      <c r="S67" s="5" t="n"/>
      <c r="V67" s="5" t="n"/>
      <c r="Z67" s="5" t="n"/>
    </row>
    <row r="68">
      <c r="D68" s="5" t="n"/>
      <c r="E68" s="5" t="n"/>
      <c r="F68" s="5" t="n"/>
      <c r="K68" s="5" t="n"/>
      <c r="S68" s="5" t="n"/>
      <c r="V68" s="5" t="n"/>
      <c r="Z68" s="5" t="n"/>
    </row>
    <row r="69">
      <c r="D69" s="5" t="n"/>
      <c r="E69" s="5" t="n"/>
      <c r="F69" s="5" t="n"/>
      <c r="K69" s="5" t="n"/>
      <c r="S69" s="5" t="n"/>
      <c r="V69" s="5" t="n"/>
      <c r="Z69" s="5" t="n"/>
    </row>
    <row r="70">
      <c r="D70" s="5" t="n"/>
      <c r="E70" s="5" t="n"/>
      <c r="F70" s="5" t="n"/>
      <c r="K70" s="5" t="n"/>
      <c r="S70" s="5" t="n"/>
      <c r="V70" s="5" t="n"/>
      <c r="Z70" s="5" t="n"/>
    </row>
    <row r="71">
      <c r="D71" s="5" t="n"/>
      <c r="E71" s="5" t="n"/>
      <c r="F71" s="5" t="n"/>
      <c r="K71" s="5" t="n"/>
      <c r="S71" s="5" t="n"/>
      <c r="V71" s="5" t="n"/>
      <c r="Z71" s="5" t="n"/>
    </row>
    <row r="72">
      <c r="D72" s="5" t="n"/>
      <c r="E72" s="5" t="n"/>
      <c r="F72" s="5" t="n"/>
      <c r="K72" s="5" t="n"/>
      <c r="S72" s="5" t="n"/>
      <c r="V72" s="5" t="n"/>
      <c r="Z72" s="5" t="n"/>
    </row>
    <row r="73">
      <c r="D73" s="5" t="n"/>
      <c r="E73" s="5" t="n"/>
      <c r="F73" s="5" t="n"/>
      <c r="K73" s="5" t="n"/>
      <c r="S73" s="5" t="n"/>
      <c r="V73" s="5" t="n"/>
      <c r="Z73" s="5" t="n"/>
    </row>
    <row r="74">
      <c r="D74" s="5" t="n"/>
      <c r="E74" s="5" t="n"/>
      <c r="F74" s="5" t="n"/>
      <c r="K74" s="5" t="n"/>
      <c r="S74" s="5" t="n"/>
      <c r="V74" s="5" t="n"/>
      <c r="Z74" s="5" t="n"/>
    </row>
    <row r="75">
      <c r="D75" s="5" t="n"/>
      <c r="E75" s="5" t="n"/>
      <c r="F75" s="5" t="n"/>
      <c r="K75" s="5" t="n"/>
      <c r="S75" s="5" t="n"/>
      <c r="V75" s="5" t="n"/>
      <c r="Z75" s="5" t="n"/>
    </row>
    <row r="76">
      <c r="D76" s="5" t="n"/>
      <c r="E76" s="5" t="n"/>
      <c r="F76" s="5" t="n"/>
      <c r="K76" s="5" t="n"/>
      <c r="S76" s="5" t="n"/>
      <c r="V76" s="5" t="n"/>
      <c r="Z76" s="5" t="n"/>
    </row>
    <row r="77">
      <c r="D77" s="5" t="n"/>
      <c r="E77" s="5" t="n"/>
      <c r="F77" s="5" t="n"/>
      <c r="K77" s="5" t="n"/>
      <c r="S77" s="5" t="n"/>
      <c r="V77" s="5" t="n"/>
      <c r="Z77" s="5" t="n"/>
    </row>
    <row r="78">
      <c r="D78" s="5" t="n"/>
      <c r="E78" s="5" t="n"/>
      <c r="F78" s="5" t="n"/>
      <c r="K78" s="5" t="n"/>
      <c r="S78" s="5" t="n"/>
      <c r="V78" s="5" t="n"/>
      <c r="Z78" s="5" t="n"/>
    </row>
    <row r="79">
      <c r="D79" s="5" t="n"/>
      <c r="E79" s="5" t="n"/>
      <c r="F79" s="5" t="n"/>
      <c r="K79" s="5" t="n"/>
      <c r="S79" s="5" t="n"/>
      <c r="V79" s="5" t="n"/>
      <c r="Z79" s="5" t="n"/>
    </row>
    <row r="80">
      <c r="D80" s="5" t="n"/>
      <c r="E80" s="5" t="n"/>
      <c r="F80" s="5" t="n"/>
      <c r="K80" s="5" t="n"/>
      <c r="S80" s="5" t="n"/>
      <c r="V80" s="5" t="n"/>
      <c r="Z80" s="5" t="n"/>
    </row>
    <row r="81">
      <c r="D81" s="5" t="n"/>
      <c r="E81" s="5" t="n"/>
      <c r="F81" s="5" t="n"/>
      <c r="K81" s="5" t="n"/>
      <c r="S81" s="5" t="n"/>
      <c r="V81" s="5" t="n"/>
      <c r="Z81" s="5" t="n"/>
    </row>
    <row r="82">
      <c r="D82" s="5" t="n"/>
      <c r="E82" s="5" t="n"/>
      <c r="F82" s="5" t="n"/>
      <c r="K82" s="5" t="n"/>
      <c r="S82" s="5" t="n"/>
      <c r="V82" s="5" t="n"/>
      <c r="Z82" s="5" t="n"/>
    </row>
    <row r="83">
      <c r="D83" s="5" t="n"/>
      <c r="E83" s="5" t="n"/>
      <c r="F83" s="5" t="n"/>
      <c r="K83" s="5" t="n"/>
      <c r="S83" s="5" t="n"/>
      <c r="V83" s="5" t="n"/>
      <c r="Z83" s="5" t="n"/>
    </row>
    <row r="84">
      <c r="D84" s="5" t="n"/>
      <c r="E84" s="5" t="n"/>
      <c r="F84" s="5" t="n"/>
      <c r="K84" s="5" t="n"/>
      <c r="S84" s="5" t="n"/>
      <c r="V84" s="5" t="n"/>
      <c r="Z84" s="5" t="n"/>
    </row>
    <row r="85">
      <c r="D85" s="5" t="n"/>
      <c r="E85" s="5" t="n"/>
      <c r="F85" s="5" t="n"/>
      <c r="K85" s="5" t="n"/>
      <c r="S85" s="5" t="n"/>
      <c r="V85" s="5" t="n"/>
      <c r="Z85" s="5" t="n"/>
    </row>
    <row r="86">
      <c r="D86" s="5" t="n"/>
      <c r="E86" s="5" t="n"/>
      <c r="F86" s="5" t="n"/>
      <c r="K86" s="5" t="n"/>
      <c r="S86" s="5" t="n"/>
      <c r="V86" s="5" t="n"/>
      <c r="Z86" s="5" t="n"/>
    </row>
    <row r="87">
      <c r="D87" s="5" t="n"/>
      <c r="E87" s="5" t="n"/>
      <c r="F87" s="5" t="n"/>
      <c r="K87" s="5" t="n"/>
      <c r="S87" s="5" t="n"/>
      <c r="V87" s="5" t="n"/>
      <c r="Z87" s="5" t="n"/>
    </row>
    <row r="88">
      <c r="D88" s="5" t="n"/>
      <c r="E88" s="5" t="n"/>
      <c r="F88" s="5" t="n"/>
      <c r="K88" s="5" t="n"/>
      <c r="S88" s="5" t="n"/>
      <c r="V88" s="5" t="n"/>
      <c r="Z88" s="5" t="n"/>
    </row>
    <row r="89">
      <c r="D89" s="5" t="n"/>
      <c r="E89" s="5" t="n"/>
      <c r="F89" s="5" t="n"/>
      <c r="K89" s="5" t="n"/>
      <c r="S89" s="5" t="n"/>
      <c r="V89" s="5" t="n"/>
      <c r="Z89" s="5" t="n"/>
    </row>
    <row r="90">
      <c r="D90" s="5" t="n"/>
      <c r="E90" s="5" t="n"/>
      <c r="F90" s="5" t="n"/>
      <c r="K90" s="5" t="n"/>
      <c r="S90" s="5" t="n"/>
      <c r="V90" s="5" t="n"/>
      <c r="Z90" s="5" t="n"/>
    </row>
    <row r="91">
      <c r="D91" s="5" t="n"/>
      <c r="E91" s="5" t="n"/>
      <c r="F91" s="5" t="n"/>
      <c r="K91" s="5" t="n"/>
      <c r="S91" s="5" t="n"/>
      <c r="V91" s="5" t="n"/>
      <c r="Z91" s="5" t="n"/>
    </row>
    <row r="92">
      <c r="D92" s="5" t="n"/>
      <c r="E92" s="5" t="n"/>
      <c r="F92" s="5" t="n"/>
      <c r="K92" s="5" t="n"/>
      <c r="S92" s="5" t="n"/>
      <c r="V92" s="5" t="n"/>
      <c r="Z92" s="5" t="n"/>
    </row>
    <row r="93">
      <c r="D93" s="5" t="n"/>
      <c r="E93" s="5" t="n"/>
      <c r="F93" s="5" t="n"/>
      <c r="K93" s="5" t="n"/>
      <c r="S93" s="5" t="n"/>
      <c r="V93" s="5" t="n"/>
      <c r="Z93" s="5" t="n"/>
    </row>
    <row r="94">
      <c r="D94" s="5" t="n"/>
      <c r="E94" s="5" t="n"/>
      <c r="F94" s="5" t="n"/>
      <c r="K94" s="5" t="n"/>
      <c r="S94" s="5" t="n"/>
      <c r="V94" s="5" t="n"/>
      <c r="Z94" s="5" t="n"/>
    </row>
    <row r="95">
      <c r="D95" s="5" t="n"/>
      <c r="E95" s="5" t="n"/>
      <c r="F95" s="5" t="n"/>
      <c r="K95" s="5" t="n"/>
      <c r="S95" s="5" t="n"/>
      <c r="V95" s="5" t="n"/>
      <c r="Z95" s="5" t="n"/>
    </row>
    <row r="96">
      <c r="D96" s="5" t="n"/>
      <c r="E96" s="5" t="n"/>
      <c r="F96" s="5" t="n"/>
      <c r="K96" s="5" t="n"/>
      <c r="S96" s="5" t="n"/>
      <c r="V96" s="5" t="n"/>
      <c r="Z96" s="5" t="n"/>
    </row>
    <row r="97">
      <c r="D97" s="5" t="n"/>
      <c r="E97" s="5" t="n"/>
      <c r="F97" s="5" t="n"/>
      <c r="K97" s="5" t="n"/>
      <c r="S97" s="5" t="n"/>
      <c r="V97" s="5" t="n"/>
      <c r="Z97" s="5" t="n"/>
    </row>
    <row r="98">
      <c r="D98" s="5" t="n"/>
      <c r="E98" s="5" t="n"/>
      <c r="F98" s="5" t="n"/>
      <c r="K98" s="5" t="n"/>
      <c r="S98" s="5" t="n"/>
      <c r="V98" s="5" t="n"/>
      <c r="Z98" s="5" t="n"/>
    </row>
    <row r="99">
      <c r="D99" s="5" t="n"/>
      <c r="E99" s="5" t="n"/>
      <c r="F99" s="5" t="n"/>
      <c r="K99" s="5" t="n"/>
      <c r="S99" s="5" t="n"/>
      <c r="V99" s="5" t="n"/>
      <c r="Z99" s="5" t="n"/>
    </row>
    <row r="100">
      <c r="D100" s="5" t="n"/>
      <c r="E100" s="5" t="n"/>
      <c r="F100" s="5" t="n"/>
      <c r="K100" s="5" t="n"/>
      <c r="S100" s="5" t="n"/>
      <c r="V100" s="5" t="n"/>
      <c r="Z100" s="5" t="n"/>
    </row>
    <row r="101">
      <c r="D101" s="5" t="n"/>
      <c r="E101" s="5" t="n"/>
      <c r="F101" s="5" t="n"/>
      <c r="K101" s="5" t="n"/>
      <c r="S101" s="5" t="n"/>
      <c r="V101" s="5" t="n"/>
      <c r="Z101" s="5" t="n"/>
    </row>
    <row r="102">
      <c r="D102" s="5" t="n"/>
      <c r="E102" s="5" t="n"/>
      <c r="F102" s="5" t="n"/>
      <c r="K102" s="5" t="n"/>
      <c r="S102" s="5" t="n"/>
      <c r="V102" s="5" t="n"/>
      <c r="Z102" s="5" t="n"/>
    </row>
    <row r="103">
      <c r="D103" s="5" t="n"/>
      <c r="E103" s="5" t="n"/>
      <c r="F103" s="5" t="n"/>
      <c r="K103" s="5" t="n"/>
      <c r="S103" s="5" t="n"/>
      <c r="V103" s="5" t="n"/>
      <c r="Z103" s="5" t="n"/>
    </row>
    <row r="104">
      <c r="D104" s="5" t="n"/>
      <c r="E104" s="5" t="n"/>
      <c r="F104" s="5" t="n"/>
      <c r="K104" s="5" t="n"/>
      <c r="S104" s="5" t="n"/>
      <c r="V104" s="5" t="n"/>
      <c r="Z104" s="5" t="n"/>
    </row>
    <row r="105">
      <c r="D105" s="5" t="n"/>
      <c r="E105" s="5" t="n"/>
      <c r="F105" s="5" t="n"/>
      <c r="K105" s="5" t="n"/>
      <c r="S105" s="5" t="n"/>
      <c r="V105" s="5" t="n"/>
      <c r="Z105" s="5" t="n"/>
    </row>
    <row r="106">
      <c r="D106" s="5" t="n"/>
      <c r="E106" s="5" t="n"/>
      <c r="F106" s="5" t="n"/>
      <c r="K106" s="5" t="n"/>
      <c r="S106" s="5" t="n"/>
      <c r="V106" s="5" t="n"/>
      <c r="Z106" s="5" t="n"/>
    </row>
    <row r="107">
      <c r="D107" s="5" t="n"/>
      <c r="E107" s="5" t="n"/>
      <c r="F107" s="5" t="n"/>
      <c r="K107" s="5" t="n"/>
      <c r="S107" s="5" t="n"/>
      <c r="V107" s="5" t="n"/>
      <c r="Z107" s="5" t="n"/>
    </row>
    <row r="108">
      <c r="D108" s="5" t="n"/>
      <c r="E108" s="5" t="n"/>
      <c r="F108" s="5" t="n"/>
      <c r="K108" s="5" t="n"/>
      <c r="S108" s="5" t="n"/>
      <c r="V108" s="5" t="n"/>
      <c r="Z108" s="5" t="n"/>
    </row>
    <row r="109">
      <c r="D109" s="5" t="n"/>
      <c r="E109" s="5" t="n"/>
      <c r="F109" s="5" t="n"/>
      <c r="K109" s="5" t="n"/>
      <c r="S109" s="5" t="n"/>
      <c r="V109" s="5" t="n"/>
      <c r="Z109" s="5" t="n"/>
    </row>
    <row r="110">
      <c r="D110" s="5" t="n"/>
      <c r="E110" s="5" t="n"/>
      <c r="F110" s="5" t="n"/>
      <c r="K110" s="5" t="n"/>
      <c r="S110" s="5" t="n"/>
      <c r="V110" s="5" t="n"/>
      <c r="Z110" s="5" t="n"/>
    </row>
    <row r="111">
      <c r="D111" s="5" t="n"/>
      <c r="E111" s="5" t="n"/>
      <c r="F111" s="5" t="n"/>
      <c r="K111" s="5" t="n"/>
      <c r="S111" s="5" t="n"/>
      <c r="V111" s="5" t="n"/>
      <c r="Z111" s="5" t="n"/>
    </row>
    <row r="112">
      <c r="D112" s="5" t="n"/>
      <c r="E112" s="5" t="n"/>
      <c r="F112" s="5" t="n"/>
      <c r="K112" s="5" t="n"/>
      <c r="S112" s="5" t="n"/>
      <c r="V112" s="5" t="n"/>
      <c r="Z112" s="5" t="n"/>
    </row>
    <row r="113">
      <c r="D113" s="5" t="n"/>
      <c r="E113" s="5" t="n"/>
      <c r="F113" s="5" t="n"/>
      <c r="K113" s="5" t="n"/>
      <c r="S113" s="5" t="n"/>
      <c r="V113" s="5" t="n"/>
      <c r="Z113" s="5" t="n"/>
    </row>
    <row r="114">
      <c r="D114" s="5" t="n"/>
      <c r="E114" s="5" t="n"/>
      <c r="F114" s="5" t="n"/>
      <c r="K114" s="5" t="n"/>
      <c r="S114" s="5" t="n"/>
      <c r="V114" s="5" t="n"/>
      <c r="Z114" s="5" t="n"/>
    </row>
    <row r="115">
      <c r="D115" s="5" t="n"/>
      <c r="E115" s="5" t="n"/>
      <c r="F115" s="5" t="n"/>
      <c r="K115" s="5" t="n"/>
      <c r="S115" s="5" t="n"/>
      <c r="V115" s="5" t="n"/>
      <c r="Z115" s="5" t="n"/>
    </row>
    <row r="116">
      <c r="D116" s="5" t="n"/>
      <c r="E116" s="5" t="n"/>
      <c r="F116" s="5" t="n"/>
      <c r="K116" s="5" t="n"/>
      <c r="S116" s="5" t="n"/>
      <c r="V116" s="5" t="n"/>
      <c r="Z116" s="5" t="n"/>
    </row>
    <row r="117">
      <c r="D117" s="5" t="n"/>
      <c r="E117" s="5" t="n"/>
      <c r="F117" s="5" t="n"/>
      <c r="K117" s="5" t="n"/>
      <c r="S117" s="5" t="n"/>
      <c r="V117" s="5" t="n"/>
      <c r="Z117" s="5" t="n"/>
    </row>
    <row r="118">
      <c r="D118" s="5" t="n"/>
      <c r="E118" s="5" t="n"/>
      <c r="F118" s="5" t="n"/>
      <c r="K118" s="5" t="n"/>
      <c r="S118" s="5" t="n"/>
      <c r="V118" s="5" t="n"/>
      <c r="Z118" s="5" t="n"/>
    </row>
    <row r="119">
      <c r="D119" s="5" t="n"/>
      <c r="E119" s="5" t="n"/>
      <c r="F119" s="5" t="n"/>
      <c r="K119" s="5" t="n"/>
      <c r="S119" s="5" t="n"/>
      <c r="V119" s="5" t="n"/>
      <c r="Z119" s="5" t="n"/>
    </row>
    <row r="120">
      <c r="D120" s="5" t="n"/>
      <c r="E120" s="5" t="n"/>
      <c r="F120" s="5" t="n"/>
      <c r="K120" s="5" t="n"/>
      <c r="S120" s="5" t="n"/>
      <c r="V120" s="5" t="n"/>
      <c r="Z120" s="5" t="n"/>
    </row>
    <row r="121">
      <c r="D121" s="5" t="n"/>
      <c r="E121" s="5" t="n"/>
      <c r="F121" s="5" t="n"/>
      <c r="K121" s="5" t="n"/>
      <c r="S121" s="5" t="n"/>
      <c r="V121" s="5" t="n"/>
      <c r="Z121" s="5" t="n"/>
    </row>
    <row r="122">
      <c r="D122" s="5" t="n"/>
      <c r="E122" s="5" t="n"/>
      <c r="F122" s="5" t="n"/>
      <c r="K122" s="5" t="n"/>
      <c r="S122" s="5" t="n"/>
      <c r="V122" s="5" t="n"/>
      <c r="Z122" s="5" t="n"/>
    </row>
    <row r="123">
      <c r="D123" s="5" t="n"/>
      <c r="E123" s="5" t="n"/>
      <c r="F123" s="5" t="n"/>
      <c r="K123" s="5" t="n"/>
      <c r="S123" s="5" t="n"/>
      <c r="V123" s="5" t="n"/>
      <c r="Z123" s="5" t="n"/>
    </row>
    <row r="124">
      <c r="D124" s="5" t="n"/>
      <c r="E124" s="5" t="n"/>
      <c r="F124" s="5" t="n"/>
      <c r="K124" s="5" t="n"/>
      <c r="S124" s="5" t="n"/>
      <c r="V124" s="5" t="n"/>
      <c r="Z124" s="5" t="n"/>
    </row>
    <row r="125">
      <c r="D125" s="5" t="n"/>
      <c r="E125" s="5" t="n"/>
      <c r="F125" s="5" t="n"/>
      <c r="K125" s="5" t="n"/>
      <c r="S125" s="5" t="n"/>
      <c r="V125" s="5" t="n"/>
      <c r="Z125" s="5" t="n"/>
    </row>
    <row r="126">
      <c r="D126" s="5" t="n"/>
      <c r="E126" s="5" t="n"/>
      <c r="F126" s="5" t="n"/>
      <c r="K126" s="5" t="n"/>
      <c r="S126" s="5" t="n"/>
      <c r="V126" s="5" t="n"/>
      <c r="Z126" s="5" t="n"/>
    </row>
    <row r="127">
      <c r="D127" s="5" t="n"/>
      <c r="E127" s="5" t="n"/>
      <c r="F127" s="5" t="n"/>
      <c r="K127" s="5" t="n"/>
      <c r="S127" s="5" t="n"/>
      <c r="V127" s="5" t="n"/>
      <c r="Z127" s="5" t="n"/>
    </row>
    <row r="128">
      <c r="D128" s="5" t="n"/>
      <c r="E128" s="5" t="n"/>
      <c r="F128" s="5" t="n"/>
      <c r="K128" s="5" t="n"/>
      <c r="S128" s="5" t="n"/>
      <c r="V128" s="5" t="n"/>
      <c r="Z128" s="5" t="n"/>
    </row>
    <row r="129">
      <c r="D129" s="5" t="n"/>
      <c r="E129" s="5" t="n"/>
      <c r="F129" s="5" t="n"/>
      <c r="K129" s="5" t="n"/>
      <c r="S129" s="5" t="n"/>
      <c r="V129" s="5" t="n"/>
      <c r="Z129" s="5" t="n"/>
    </row>
    <row r="130">
      <c r="D130" s="5" t="n"/>
      <c r="E130" s="5" t="n"/>
      <c r="F130" s="5" t="n"/>
      <c r="K130" s="5" t="n"/>
      <c r="S130" s="5" t="n"/>
      <c r="V130" s="5" t="n"/>
      <c r="Z130" s="5" t="n"/>
    </row>
    <row r="131">
      <c r="D131" s="5" t="n"/>
      <c r="E131" s="5" t="n"/>
      <c r="F131" s="5" t="n"/>
      <c r="K131" s="5" t="n"/>
      <c r="S131" s="5" t="n"/>
      <c r="V131" s="5" t="n"/>
      <c r="Z131" s="5" t="n"/>
    </row>
    <row r="132">
      <c r="D132" s="5" t="n"/>
      <c r="E132" s="5" t="n"/>
      <c r="F132" s="5" t="n"/>
      <c r="K132" s="5" t="n"/>
      <c r="S132" s="5" t="n"/>
      <c r="V132" s="5" t="n"/>
      <c r="Z132" s="5" t="n"/>
    </row>
    <row r="133">
      <c r="D133" s="5" t="n"/>
      <c r="E133" s="5" t="n"/>
      <c r="F133" s="5" t="n"/>
      <c r="K133" s="5" t="n"/>
      <c r="S133" s="5" t="n"/>
      <c r="V133" s="5" t="n"/>
      <c r="Z133" s="5" t="n"/>
    </row>
    <row r="134">
      <c r="D134" s="5" t="n"/>
      <c r="E134" s="5" t="n"/>
      <c r="F134" s="5" t="n"/>
      <c r="K134" s="5" t="n"/>
      <c r="S134" s="5" t="n"/>
      <c r="V134" s="5" t="n"/>
      <c r="Z134" s="5" t="n"/>
    </row>
    <row r="135">
      <c r="D135" s="5" t="n"/>
      <c r="E135" s="5" t="n"/>
      <c r="F135" s="5" t="n"/>
      <c r="K135" s="5" t="n"/>
      <c r="S135" s="5" t="n"/>
      <c r="V135" s="5" t="n"/>
      <c r="Z135" s="5" t="n"/>
    </row>
    <row r="136">
      <c r="D136" s="5" t="n"/>
      <c r="E136" s="5" t="n"/>
      <c r="F136" s="5" t="n"/>
      <c r="K136" s="5" t="n"/>
      <c r="S136" s="5" t="n"/>
      <c r="V136" s="5" t="n"/>
      <c r="Z136" s="5" t="n"/>
    </row>
    <row r="137">
      <c r="D137" s="5" t="n"/>
      <c r="E137" s="5" t="n"/>
      <c r="F137" s="5" t="n"/>
      <c r="K137" s="5" t="n"/>
      <c r="S137" s="5" t="n"/>
      <c r="V137" s="5" t="n"/>
      <c r="Z137" s="5" t="n"/>
    </row>
    <row r="138">
      <c r="D138" s="5" t="n"/>
      <c r="E138" s="5" t="n"/>
      <c r="F138" s="5" t="n"/>
      <c r="K138" s="5" t="n"/>
      <c r="S138" s="5" t="n"/>
      <c r="V138" s="5" t="n"/>
      <c r="Z138" s="5" t="n"/>
    </row>
    <row r="139">
      <c r="D139" s="5" t="n"/>
      <c r="E139" s="5" t="n"/>
      <c r="F139" s="5" t="n"/>
      <c r="K139" s="5" t="n"/>
      <c r="S139" s="5" t="n"/>
      <c r="V139" s="5" t="n"/>
      <c r="Z139" s="5" t="n"/>
    </row>
    <row r="140">
      <c r="D140" s="5" t="n"/>
      <c r="E140" s="5" t="n"/>
      <c r="F140" s="5" t="n"/>
      <c r="K140" s="5" t="n"/>
      <c r="S140" s="5" t="n"/>
      <c r="V140" s="5" t="n"/>
      <c r="Z140" s="5" t="n"/>
    </row>
    <row r="141">
      <c r="D141" s="5" t="n"/>
      <c r="E141" s="5" t="n"/>
      <c r="F141" s="5" t="n"/>
      <c r="K141" s="5" t="n"/>
      <c r="S141" s="5" t="n"/>
      <c r="V141" s="5" t="n"/>
      <c r="Z141" s="5" t="n"/>
    </row>
    <row r="142">
      <c r="D142" s="5" t="n"/>
      <c r="E142" s="5" t="n"/>
      <c r="F142" s="5" t="n"/>
      <c r="K142" s="5" t="n"/>
      <c r="S142" s="5" t="n"/>
      <c r="V142" s="5" t="n"/>
      <c r="Z142" s="5" t="n"/>
    </row>
    <row r="143">
      <c r="D143" s="5" t="n"/>
      <c r="E143" s="5" t="n"/>
      <c r="F143" s="5" t="n"/>
      <c r="K143" s="5" t="n"/>
      <c r="S143" s="5" t="n"/>
      <c r="V143" s="5" t="n"/>
      <c r="Z143" s="5" t="n"/>
    </row>
    <row r="144">
      <c r="D144" s="5" t="n"/>
      <c r="E144" s="5" t="n"/>
      <c r="F144" s="5" t="n"/>
      <c r="K144" s="5" t="n"/>
      <c r="S144" s="5" t="n"/>
      <c r="V144" s="5" t="n"/>
      <c r="Z144" s="5" t="n"/>
    </row>
    <row r="145">
      <c r="D145" s="5" t="n"/>
      <c r="E145" s="5" t="n"/>
      <c r="F145" s="5" t="n"/>
      <c r="K145" s="5" t="n"/>
      <c r="S145" s="5" t="n"/>
      <c r="V145" s="5" t="n"/>
      <c r="Z145" s="5" t="n"/>
    </row>
    <row r="146">
      <c r="D146" s="5" t="n"/>
      <c r="E146" s="5" t="n"/>
      <c r="F146" s="5" t="n"/>
      <c r="K146" s="5" t="n"/>
      <c r="S146" s="5" t="n"/>
      <c r="V146" s="5" t="n"/>
      <c r="Z146" s="5" t="n"/>
    </row>
    <row r="147">
      <c r="D147" s="5" t="n"/>
      <c r="E147" s="5" t="n"/>
      <c r="F147" s="5" t="n"/>
      <c r="K147" s="5" t="n"/>
      <c r="S147" s="5" t="n"/>
      <c r="V147" s="5" t="n"/>
      <c r="Z147" s="5" t="n"/>
    </row>
    <row r="148">
      <c r="D148" s="5" t="n"/>
      <c r="E148" s="5" t="n"/>
      <c r="F148" s="5" t="n"/>
      <c r="K148" s="5" t="n"/>
      <c r="S148" s="5" t="n"/>
      <c r="V148" s="5" t="n"/>
      <c r="Z148" s="5" t="n"/>
    </row>
    <row r="149">
      <c r="D149" s="5" t="n"/>
      <c r="E149" s="5" t="n"/>
      <c r="F149" s="5" t="n"/>
      <c r="K149" s="5" t="n"/>
      <c r="S149" s="5" t="n"/>
      <c r="V149" s="5" t="n"/>
      <c r="Z149" s="5" t="n"/>
    </row>
    <row r="150">
      <c r="D150" s="5" t="n"/>
      <c r="E150" s="5" t="n"/>
      <c r="F150" s="5" t="n"/>
      <c r="K150" s="5" t="n"/>
      <c r="S150" s="5" t="n"/>
      <c r="V150" s="5" t="n"/>
      <c r="Z150" s="5" t="n"/>
    </row>
    <row r="151">
      <c r="D151" s="5" t="n"/>
      <c r="E151" s="5" t="n"/>
      <c r="F151" s="5" t="n"/>
      <c r="K151" s="5" t="n"/>
      <c r="S151" s="5" t="n"/>
      <c r="V151" s="5" t="n"/>
      <c r="Z151" s="5" t="n"/>
    </row>
    <row r="152">
      <c r="D152" s="5" t="n"/>
      <c r="E152" s="5" t="n"/>
      <c r="F152" s="5" t="n"/>
      <c r="K152" s="5" t="n"/>
      <c r="S152" s="5" t="n"/>
      <c r="V152" s="5" t="n"/>
      <c r="Z152" s="5" t="n"/>
    </row>
    <row r="153">
      <c r="D153" s="5" t="n"/>
      <c r="E153" s="5" t="n"/>
      <c r="F153" s="5" t="n"/>
      <c r="K153" s="5" t="n"/>
      <c r="S153" s="5" t="n"/>
      <c r="V153" s="5" t="n"/>
      <c r="Z153" s="5" t="n"/>
    </row>
    <row r="154">
      <c r="D154" s="5" t="n"/>
      <c r="E154" s="5" t="n"/>
      <c r="F154" s="5" t="n"/>
      <c r="K154" s="5" t="n"/>
      <c r="S154" s="5" t="n"/>
      <c r="V154" s="5" t="n"/>
      <c r="Z154" s="5" t="n"/>
    </row>
    <row r="155">
      <c r="D155" s="5" t="n"/>
      <c r="E155" s="5" t="n"/>
      <c r="F155" s="5" t="n"/>
      <c r="K155" s="5" t="n"/>
      <c r="S155" s="5" t="n"/>
      <c r="V155" s="5" t="n"/>
      <c r="Z155" s="5" t="n"/>
    </row>
    <row r="156">
      <c r="D156" s="5" t="n"/>
      <c r="E156" s="5" t="n"/>
      <c r="F156" s="5" t="n"/>
      <c r="K156" s="5" t="n"/>
      <c r="S156" s="5" t="n"/>
      <c r="V156" s="5" t="n"/>
      <c r="Z156" s="5" t="n"/>
    </row>
    <row r="157">
      <c r="D157" s="5" t="n"/>
      <c r="E157" s="5" t="n"/>
      <c r="F157" s="5" t="n"/>
      <c r="K157" s="5" t="n"/>
      <c r="S157" s="5" t="n"/>
      <c r="V157" s="5" t="n"/>
      <c r="Z157" s="5" t="n"/>
    </row>
    <row r="158">
      <c r="D158" s="5" t="n"/>
      <c r="E158" s="5" t="n"/>
      <c r="F158" s="5" t="n"/>
      <c r="K158" s="5" t="n"/>
      <c r="S158" s="5" t="n"/>
      <c r="V158" s="5" t="n"/>
      <c r="Z158" s="5" t="n"/>
    </row>
    <row r="159">
      <c r="D159" s="5" t="n"/>
      <c r="E159" s="5" t="n"/>
      <c r="F159" s="5" t="n"/>
      <c r="K159" s="5" t="n"/>
      <c r="S159" s="5" t="n"/>
      <c r="V159" s="5" t="n"/>
      <c r="Z159" s="5" t="n"/>
    </row>
    <row r="160">
      <c r="D160" s="5" t="n"/>
      <c r="E160" s="5" t="n"/>
      <c r="F160" s="5" t="n"/>
      <c r="K160" s="5" t="n"/>
      <c r="S160" s="5" t="n"/>
      <c r="V160" s="5" t="n"/>
      <c r="Z160" s="5" t="n"/>
    </row>
    <row r="161">
      <c r="D161" s="5" t="n"/>
      <c r="E161" s="5" t="n"/>
      <c r="F161" s="5" t="n"/>
      <c r="K161" s="5" t="n"/>
      <c r="S161" s="5" t="n"/>
      <c r="V161" s="5" t="n"/>
      <c r="Z161" s="5" t="n"/>
    </row>
    <row r="162">
      <c r="D162" s="5" t="n"/>
      <c r="E162" s="5" t="n"/>
      <c r="F162" s="5" t="n"/>
      <c r="K162" s="5" t="n"/>
      <c r="S162" s="5" t="n"/>
      <c r="V162" s="5" t="n"/>
      <c r="Z162" s="5" t="n"/>
    </row>
    <row r="163">
      <c r="D163" s="5" t="n"/>
      <c r="E163" s="5" t="n"/>
      <c r="F163" s="5" t="n"/>
      <c r="K163" s="5" t="n"/>
      <c r="S163" s="5" t="n"/>
      <c r="V163" s="5" t="n"/>
      <c r="Z163" s="5" t="n"/>
    </row>
    <row r="164">
      <c r="D164" s="5" t="n"/>
      <c r="E164" s="5" t="n"/>
      <c r="F164" s="5" t="n"/>
      <c r="K164" s="5" t="n"/>
      <c r="S164" s="5" t="n"/>
      <c r="V164" s="5" t="n"/>
      <c r="Z164" s="5" t="n"/>
    </row>
    <row r="165">
      <c r="D165" s="5" t="n"/>
      <c r="E165" s="5" t="n"/>
      <c r="F165" s="5" t="n"/>
      <c r="K165" s="5" t="n"/>
      <c r="S165" s="5" t="n"/>
      <c r="V165" s="5" t="n"/>
      <c r="Z165" s="5" t="n"/>
    </row>
    <row r="166">
      <c r="D166" s="5" t="n"/>
      <c r="E166" s="5" t="n"/>
      <c r="F166" s="5" t="n"/>
      <c r="K166" s="5" t="n"/>
      <c r="S166" s="5" t="n"/>
      <c r="V166" s="5" t="n"/>
      <c r="Z166" s="5" t="n"/>
    </row>
    <row r="167">
      <c r="D167" s="5" t="n"/>
      <c r="E167" s="5" t="n"/>
      <c r="F167" s="5" t="n"/>
      <c r="K167" s="5" t="n"/>
      <c r="S167" s="5" t="n"/>
      <c r="V167" s="5" t="n"/>
      <c r="Z167" s="5" t="n"/>
    </row>
    <row r="168">
      <c r="D168" s="5" t="n"/>
      <c r="E168" s="5" t="n"/>
      <c r="F168" s="5" t="n"/>
      <c r="K168" s="5" t="n"/>
      <c r="S168" s="5" t="n"/>
      <c r="V168" s="5" t="n"/>
      <c r="Z168" s="5" t="n"/>
    </row>
    <row r="169">
      <c r="D169" s="5" t="n"/>
      <c r="E169" s="5" t="n"/>
      <c r="F169" s="5" t="n"/>
      <c r="K169" s="5" t="n"/>
      <c r="S169" s="5" t="n"/>
      <c r="V169" s="5" t="n"/>
      <c r="Z169" s="5" t="n"/>
    </row>
    <row r="170">
      <c r="D170" s="5" t="n"/>
      <c r="E170" s="5" t="n"/>
      <c r="F170" s="5" t="n"/>
      <c r="K170" s="5" t="n"/>
      <c r="S170" s="5" t="n"/>
      <c r="V170" s="5" t="n"/>
      <c r="Z170" s="5" t="n"/>
    </row>
    <row r="171">
      <c r="D171" s="5" t="n"/>
      <c r="E171" s="5" t="n"/>
      <c r="F171" s="5" t="n"/>
      <c r="K171" s="5" t="n"/>
      <c r="S171" s="5" t="n"/>
      <c r="V171" s="5" t="n"/>
      <c r="Z171" s="5" t="n"/>
    </row>
    <row r="172">
      <c r="D172" s="5" t="n"/>
      <c r="E172" s="5" t="n"/>
      <c r="F172" s="5" t="n"/>
      <c r="K172" s="5" t="n"/>
      <c r="S172" s="5" t="n"/>
      <c r="V172" s="5" t="n"/>
      <c r="Z172" s="5" t="n"/>
    </row>
    <row r="173">
      <c r="D173" s="5" t="n"/>
      <c r="E173" s="5" t="n"/>
      <c r="F173" s="5" t="n"/>
      <c r="K173" s="5" t="n"/>
      <c r="S173" s="5" t="n"/>
      <c r="V173" s="5" t="n"/>
      <c r="Z173" s="5" t="n"/>
    </row>
    <row r="174">
      <c r="D174" s="5" t="n"/>
      <c r="E174" s="5" t="n"/>
      <c r="F174" s="5" t="n"/>
      <c r="K174" s="5" t="n"/>
      <c r="S174" s="5" t="n"/>
      <c r="V174" s="5" t="n"/>
      <c r="Z174" s="5" t="n"/>
    </row>
    <row r="175">
      <c r="D175" s="5" t="n"/>
      <c r="E175" s="5" t="n"/>
      <c r="F175" s="5" t="n"/>
      <c r="K175" s="5" t="n"/>
      <c r="S175" s="5" t="n"/>
      <c r="V175" s="5" t="n"/>
      <c r="Z175" s="5" t="n"/>
    </row>
    <row r="176">
      <c r="D176" s="5" t="n"/>
      <c r="E176" s="5" t="n"/>
      <c r="F176" s="5" t="n"/>
      <c r="K176" s="5" t="n"/>
      <c r="S176" s="5" t="n"/>
      <c r="V176" s="5" t="n"/>
      <c r="Z176" s="5" t="n"/>
    </row>
    <row r="177">
      <c r="D177" s="5" t="n"/>
      <c r="E177" s="5" t="n"/>
      <c r="F177" s="5" t="n"/>
      <c r="K177" s="5" t="n"/>
      <c r="S177" s="5" t="n"/>
      <c r="V177" s="5" t="n"/>
      <c r="Z177" s="5" t="n"/>
    </row>
    <row r="178">
      <c r="D178" s="5" t="n"/>
      <c r="E178" s="5" t="n"/>
      <c r="F178" s="5" t="n"/>
      <c r="K178" s="5" t="n"/>
      <c r="S178" s="5" t="n"/>
      <c r="V178" s="5" t="n"/>
      <c r="Z178" s="5" t="n"/>
    </row>
    <row r="179">
      <c r="D179" s="5" t="n"/>
      <c r="E179" s="5" t="n"/>
      <c r="F179" s="5" t="n"/>
      <c r="K179" s="5" t="n"/>
      <c r="S179" s="5" t="n"/>
      <c r="V179" s="5" t="n"/>
      <c r="Z179" s="5" t="n"/>
    </row>
    <row r="180">
      <c r="D180" s="5" t="n"/>
      <c r="E180" s="5" t="n"/>
      <c r="F180" s="5" t="n"/>
      <c r="K180" s="5" t="n"/>
      <c r="S180" s="5" t="n"/>
      <c r="V180" s="5" t="n"/>
      <c r="Z180" s="5" t="n"/>
    </row>
    <row r="181">
      <c r="D181" s="5" t="n"/>
      <c r="E181" s="5" t="n"/>
      <c r="F181" s="5" t="n"/>
      <c r="K181" s="5" t="n"/>
      <c r="S181" s="5" t="n"/>
      <c r="V181" s="5" t="n"/>
      <c r="Z181" s="5" t="n"/>
    </row>
    <row r="182">
      <c r="D182" s="5" t="n"/>
      <c r="E182" s="5" t="n"/>
      <c r="F182" s="5" t="n"/>
      <c r="K182" s="5" t="n"/>
      <c r="S182" s="5" t="n"/>
      <c r="V182" s="5" t="n"/>
      <c r="Z182" s="5" t="n"/>
    </row>
    <row r="183">
      <c r="D183" s="5" t="n"/>
      <c r="E183" s="5" t="n"/>
      <c r="F183" s="5" t="n"/>
      <c r="K183" s="5" t="n"/>
      <c r="S183" s="5" t="n"/>
      <c r="V183" s="5" t="n"/>
      <c r="Z183" s="5" t="n"/>
    </row>
    <row r="184">
      <c r="D184" s="5" t="n"/>
      <c r="E184" s="5" t="n"/>
      <c r="F184" s="5" t="n"/>
      <c r="K184" s="5" t="n"/>
      <c r="S184" s="5" t="n"/>
      <c r="V184" s="5" t="n"/>
      <c r="Z184" s="5" t="n"/>
    </row>
    <row r="185">
      <c r="D185" s="5" t="n"/>
      <c r="E185" s="5" t="n"/>
      <c r="F185" s="5" t="n"/>
      <c r="K185" s="5" t="n"/>
      <c r="S185" s="5" t="n"/>
      <c r="V185" s="5" t="n"/>
      <c r="Z185" s="5" t="n"/>
    </row>
    <row r="186">
      <c r="D186" s="5" t="n"/>
      <c r="E186" s="5" t="n"/>
      <c r="F186" s="5" t="n"/>
      <c r="K186" s="5" t="n"/>
      <c r="S186" s="5" t="n"/>
      <c r="V186" s="5" t="n"/>
      <c r="Z186" s="5" t="n"/>
    </row>
    <row r="187">
      <c r="D187" s="5" t="n"/>
      <c r="E187" s="5" t="n"/>
      <c r="F187" s="5" t="n"/>
      <c r="K187" s="5" t="n"/>
      <c r="S187" s="5" t="n"/>
      <c r="V187" s="5" t="n"/>
      <c r="Z187" s="5" t="n"/>
    </row>
    <row r="188">
      <c r="D188" s="5" t="n"/>
      <c r="E188" s="5" t="n"/>
      <c r="F188" s="5" t="n"/>
      <c r="K188" s="5" t="n"/>
      <c r="S188" s="5" t="n"/>
      <c r="V188" s="5" t="n"/>
      <c r="Z188" s="5" t="n"/>
    </row>
    <row r="189">
      <c r="D189" s="5" t="n"/>
      <c r="E189" s="5" t="n"/>
      <c r="F189" s="5" t="n"/>
      <c r="K189" s="5" t="n"/>
      <c r="S189" s="5" t="n"/>
      <c r="V189" s="5" t="n"/>
      <c r="Z189" s="5" t="n"/>
    </row>
    <row r="190">
      <c r="D190" s="5" t="n"/>
      <c r="E190" s="5" t="n"/>
      <c r="F190" s="5" t="n"/>
      <c r="K190" s="5" t="n"/>
      <c r="S190" s="5" t="n"/>
      <c r="V190" s="5" t="n"/>
      <c r="Z190" s="5" t="n"/>
    </row>
    <row r="191">
      <c r="D191" s="5" t="n"/>
      <c r="E191" s="5" t="n"/>
      <c r="F191" s="5" t="n"/>
      <c r="K191" s="5" t="n"/>
      <c r="S191" s="5" t="n"/>
      <c r="V191" s="5" t="n"/>
      <c r="Z191" s="5" t="n"/>
    </row>
    <row r="192">
      <c r="D192" s="5" t="n"/>
      <c r="E192" s="5" t="n"/>
      <c r="F192" s="5" t="n"/>
      <c r="K192" s="5" t="n"/>
      <c r="S192" s="5" t="n"/>
      <c r="V192" s="5" t="n"/>
      <c r="Z192" s="5" t="n"/>
    </row>
    <row r="193">
      <c r="D193" s="5" t="n"/>
      <c r="E193" s="5" t="n"/>
      <c r="F193" s="5" t="n"/>
      <c r="K193" s="5" t="n"/>
      <c r="S193" s="5" t="n"/>
      <c r="V193" s="5" t="n"/>
      <c r="Z193" s="5" t="n"/>
    </row>
    <row r="194">
      <c r="D194" s="5" t="n"/>
      <c r="E194" s="5" t="n"/>
      <c r="F194" s="5" t="n"/>
      <c r="K194" s="5" t="n"/>
      <c r="S194" s="5" t="n"/>
      <c r="V194" s="5" t="n"/>
      <c r="Z194" s="5" t="n"/>
    </row>
    <row r="195">
      <c r="D195" s="5" t="n"/>
      <c r="E195" s="5" t="n"/>
      <c r="F195" s="5" t="n"/>
      <c r="K195" s="5" t="n"/>
      <c r="S195" s="5" t="n"/>
      <c r="V195" s="5" t="n"/>
      <c r="Z195" s="5" t="n"/>
    </row>
    <row r="196">
      <c r="D196" s="5" t="n"/>
      <c r="E196" s="5" t="n"/>
      <c r="F196" s="5" t="n"/>
      <c r="K196" s="5" t="n"/>
      <c r="S196" s="5" t="n"/>
      <c r="V196" s="5" t="n"/>
      <c r="Z196" s="5" t="n"/>
    </row>
    <row r="197">
      <c r="D197" s="5" t="n"/>
      <c r="E197" s="5" t="n"/>
      <c r="F197" s="5" t="n"/>
      <c r="K197" s="5" t="n"/>
      <c r="S197" s="5" t="n"/>
      <c r="V197" s="5" t="n"/>
      <c r="Z197" s="5" t="n"/>
    </row>
    <row r="198">
      <c r="D198" s="5" t="n"/>
      <c r="E198" s="5" t="n"/>
      <c r="F198" s="5" t="n"/>
      <c r="K198" s="5" t="n"/>
      <c r="S198" s="5" t="n"/>
      <c r="V198" s="5" t="n"/>
      <c r="Z198" s="5" t="n"/>
    </row>
    <row r="199">
      <c r="D199" s="5" t="n"/>
      <c r="E199" s="5" t="n"/>
      <c r="F199" s="5" t="n"/>
      <c r="K199" s="5" t="n"/>
      <c r="S199" s="5" t="n"/>
      <c r="V199" s="5" t="n"/>
      <c r="Z199" s="5" t="n"/>
    </row>
    <row r="200">
      <c r="D200" s="5" t="n"/>
      <c r="E200" s="5" t="n"/>
      <c r="F200" s="5" t="n"/>
      <c r="K200" s="5" t="n"/>
      <c r="S200" s="5" t="n"/>
      <c r="V200" s="5" t="n"/>
      <c r="Z200" s="5" t="n"/>
    </row>
    <row r="201">
      <c r="D201" s="5" t="n"/>
      <c r="E201" s="5" t="n"/>
      <c r="F201" s="5" t="n"/>
      <c r="K201" s="5" t="n"/>
      <c r="S201" s="5" t="n"/>
      <c r="V201" s="5" t="n"/>
      <c r="Z201" s="5" t="n"/>
    </row>
    <row r="202">
      <c r="D202" s="5" t="n"/>
      <c r="E202" s="5" t="n"/>
      <c r="F202" s="5" t="n"/>
      <c r="K202" s="5" t="n"/>
      <c r="S202" s="5" t="n"/>
      <c r="V202" s="5" t="n"/>
      <c r="Z202" s="5" t="n"/>
    </row>
    <row r="203">
      <c r="D203" s="5" t="n"/>
      <c r="E203" s="5" t="n"/>
      <c r="F203" s="5" t="n"/>
      <c r="K203" s="5" t="n"/>
      <c r="S203" s="5" t="n"/>
      <c r="V203" s="5" t="n"/>
      <c r="Z203" s="5" t="n"/>
    </row>
    <row r="204">
      <c r="D204" s="5" t="n"/>
      <c r="E204" s="5" t="n"/>
      <c r="F204" s="5" t="n"/>
      <c r="K204" s="5" t="n"/>
      <c r="S204" s="5" t="n"/>
      <c r="V204" s="5" t="n"/>
      <c r="Z204" s="5" t="n"/>
    </row>
    <row r="205">
      <c r="D205" s="5" t="n"/>
      <c r="E205" s="5" t="n"/>
      <c r="F205" s="5" t="n"/>
      <c r="K205" s="5" t="n"/>
      <c r="S205" s="5" t="n"/>
      <c r="V205" s="5" t="n"/>
      <c r="Z205" s="5" t="n"/>
    </row>
    <row r="206">
      <c r="D206" s="5" t="n"/>
      <c r="E206" s="5" t="n"/>
      <c r="F206" s="5" t="n"/>
      <c r="K206" s="5" t="n"/>
      <c r="S206" s="5" t="n"/>
      <c r="V206" s="5" t="n"/>
      <c r="Z206" s="5" t="n"/>
    </row>
    <row r="207">
      <c r="D207" s="5" t="n"/>
      <c r="E207" s="5" t="n"/>
      <c r="F207" s="5" t="n"/>
      <c r="K207" s="5" t="n"/>
      <c r="S207" s="5" t="n"/>
      <c r="V207" s="5" t="n"/>
      <c r="Z207" s="5" t="n"/>
    </row>
    <row r="208">
      <c r="D208" s="5" t="n"/>
      <c r="E208" s="5" t="n"/>
      <c r="F208" s="5" t="n"/>
      <c r="K208" s="5" t="n"/>
      <c r="S208" s="5" t="n"/>
      <c r="V208" s="5" t="n"/>
      <c r="Z208" s="5" t="n"/>
    </row>
    <row r="209">
      <c r="D209" s="5" t="n"/>
      <c r="E209" s="5" t="n"/>
      <c r="F209" s="5" t="n"/>
      <c r="K209" s="5" t="n"/>
      <c r="S209" s="5" t="n"/>
      <c r="V209" s="5" t="n"/>
      <c r="Z209" s="5" t="n"/>
    </row>
    <row r="210">
      <c r="D210" s="5" t="n"/>
      <c r="E210" s="5" t="n"/>
      <c r="F210" s="5" t="n"/>
      <c r="K210" s="5" t="n"/>
      <c r="S210" s="5" t="n"/>
      <c r="V210" s="5" t="n"/>
      <c r="Z210" s="5" t="n"/>
    </row>
    <row r="211">
      <c r="D211" s="5" t="n"/>
      <c r="E211" s="5" t="n"/>
      <c r="F211" s="5" t="n"/>
      <c r="K211" s="5" t="n"/>
      <c r="S211" s="5" t="n"/>
      <c r="V211" s="5" t="n"/>
      <c r="Z211" s="5" t="n"/>
    </row>
    <row r="212">
      <c r="D212" s="5" t="n"/>
      <c r="E212" s="5" t="n"/>
      <c r="F212" s="5" t="n"/>
      <c r="K212" s="5" t="n"/>
      <c r="S212" s="5" t="n"/>
      <c r="V212" s="5" t="n"/>
      <c r="Z212" s="5" t="n"/>
    </row>
    <row r="213">
      <c r="D213" s="5" t="n"/>
      <c r="E213" s="5" t="n"/>
      <c r="F213" s="5" t="n"/>
      <c r="K213" s="5" t="n"/>
      <c r="S213" s="5" t="n"/>
      <c r="V213" s="5" t="n"/>
      <c r="Z213" s="5" t="n"/>
    </row>
    <row r="214">
      <c r="D214" s="5" t="n"/>
      <c r="E214" s="5" t="n"/>
      <c r="F214" s="5" t="n"/>
      <c r="K214" s="5" t="n"/>
      <c r="S214" s="5" t="n"/>
      <c r="V214" s="5" t="n"/>
      <c r="Z214" s="5" t="n"/>
    </row>
    <row r="215">
      <c r="D215" s="5" t="n"/>
      <c r="E215" s="5" t="n"/>
      <c r="F215" s="5" t="n"/>
      <c r="K215" s="5" t="n"/>
      <c r="S215" s="5" t="n"/>
      <c r="V215" s="5" t="n"/>
      <c r="Z215" s="5" t="n"/>
    </row>
    <row r="216">
      <c r="D216" s="5" t="n"/>
      <c r="E216" s="5" t="n"/>
      <c r="F216" s="5" t="n"/>
      <c r="K216" s="5" t="n"/>
      <c r="S216" s="5" t="n"/>
      <c r="V216" s="5" t="n"/>
      <c r="Z216" s="5" t="n"/>
    </row>
    <row r="217">
      <c r="D217" s="5" t="n"/>
      <c r="E217" s="5" t="n"/>
      <c r="F217" s="5" t="n"/>
      <c r="K217" s="5" t="n"/>
      <c r="S217" s="5" t="n"/>
      <c r="V217" s="5" t="n"/>
      <c r="Z217" s="5" t="n"/>
    </row>
    <row r="218">
      <c r="D218" s="5" t="n"/>
      <c r="E218" s="5" t="n"/>
      <c r="F218" s="5" t="n"/>
      <c r="K218" s="5" t="n"/>
      <c r="S218" s="5" t="n"/>
      <c r="V218" s="5" t="n"/>
      <c r="Z218" s="5" t="n"/>
    </row>
    <row r="219">
      <c r="D219" s="5" t="n"/>
      <c r="E219" s="5" t="n"/>
      <c r="F219" s="5" t="n"/>
      <c r="K219" s="5" t="n"/>
      <c r="S219" s="5" t="n"/>
      <c r="V219" s="5" t="n"/>
      <c r="Z219" s="5" t="n"/>
    </row>
    <row r="220">
      <c r="D220" s="5" t="n"/>
      <c r="E220" s="5" t="n"/>
      <c r="F220" s="5" t="n"/>
      <c r="K220" s="5" t="n"/>
      <c r="S220" s="5" t="n"/>
      <c r="V220" s="5" t="n"/>
      <c r="Z220" s="5" t="n"/>
    </row>
    <row r="221">
      <c r="D221" s="5" t="n"/>
      <c r="E221" s="5" t="n"/>
      <c r="F221" s="5" t="n"/>
      <c r="K221" s="5" t="n"/>
      <c r="S221" s="5" t="n"/>
      <c r="V221" s="5" t="n"/>
      <c r="Z221" s="5" t="n"/>
    </row>
    <row r="222">
      <c r="D222" s="5" t="n"/>
      <c r="E222" s="5" t="n"/>
      <c r="F222" s="5" t="n"/>
      <c r="K222" s="5" t="n"/>
      <c r="S222" s="5" t="n"/>
      <c r="V222" s="5" t="n"/>
      <c r="Z222" s="5" t="n"/>
    </row>
    <row r="223">
      <c r="D223" s="5" t="n"/>
      <c r="E223" s="5" t="n"/>
      <c r="F223" s="5" t="n"/>
      <c r="K223" s="5" t="n"/>
      <c r="S223" s="5" t="n"/>
      <c r="V223" s="5" t="n"/>
      <c r="Z223" s="5" t="n"/>
    </row>
    <row r="224">
      <c r="D224" s="5" t="n"/>
      <c r="E224" s="5" t="n"/>
      <c r="F224" s="5" t="n"/>
      <c r="K224" s="5" t="n"/>
      <c r="S224" s="5" t="n"/>
      <c r="V224" s="5" t="n"/>
      <c r="Z224" s="5" t="n"/>
    </row>
    <row r="225">
      <c r="D225" s="5" t="n"/>
      <c r="E225" s="5" t="n"/>
      <c r="F225" s="5" t="n"/>
      <c r="K225" s="5" t="n"/>
      <c r="S225" s="5" t="n"/>
      <c r="V225" s="5" t="n"/>
      <c r="Z225" s="5" t="n"/>
    </row>
    <row r="226">
      <c r="D226" s="5" t="n"/>
      <c r="E226" s="5" t="n"/>
      <c r="F226" s="5" t="n"/>
      <c r="K226" s="5" t="n"/>
      <c r="S226" s="5" t="n"/>
      <c r="V226" s="5" t="n"/>
      <c r="Z226" s="5" t="n"/>
    </row>
    <row r="227">
      <c r="D227" s="5" t="n"/>
      <c r="E227" s="5" t="n"/>
      <c r="F227" s="5" t="n"/>
      <c r="K227" s="5" t="n"/>
      <c r="S227" s="5" t="n"/>
      <c r="V227" s="5" t="n"/>
      <c r="Z227" s="5" t="n"/>
    </row>
    <row r="228">
      <c r="D228" s="5" t="n"/>
      <c r="E228" s="5" t="n"/>
      <c r="F228" s="5" t="n"/>
      <c r="K228" s="5" t="n"/>
      <c r="S228" s="5" t="n"/>
      <c r="V228" s="5" t="n"/>
      <c r="Z228" s="5" t="n"/>
    </row>
    <row r="229">
      <c r="D229" s="5" t="n"/>
      <c r="E229" s="5" t="n"/>
      <c r="F229" s="5" t="n"/>
      <c r="K229" s="5" t="n"/>
      <c r="S229" s="5" t="n"/>
      <c r="V229" s="5" t="n"/>
      <c r="Z229" s="5" t="n"/>
    </row>
    <row r="230">
      <c r="D230" s="5" t="n"/>
      <c r="E230" s="5" t="n"/>
      <c r="F230" s="5" t="n"/>
      <c r="K230" s="5" t="n"/>
      <c r="S230" s="5" t="n"/>
      <c r="V230" s="5" t="n"/>
      <c r="Z230" s="5" t="n"/>
    </row>
    <row r="231">
      <c r="D231" s="5" t="n"/>
      <c r="E231" s="5" t="n"/>
      <c r="F231" s="5" t="n"/>
      <c r="K231" s="5" t="n"/>
      <c r="S231" s="5" t="n"/>
      <c r="V231" s="5" t="n"/>
      <c r="Z231" s="5" t="n"/>
    </row>
    <row r="232">
      <c r="D232" s="5" t="n"/>
      <c r="E232" s="5" t="n"/>
      <c r="F232" s="5" t="n"/>
      <c r="K232" s="5" t="n"/>
      <c r="S232" s="5" t="n"/>
      <c r="V232" s="5" t="n"/>
      <c r="Z232" s="5" t="n"/>
    </row>
    <row r="233">
      <c r="D233" s="5" t="n"/>
      <c r="E233" s="5" t="n"/>
      <c r="F233" s="5" t="n"/>
      <c r="K233" s="5" t="n"/>
      <c r="S233" s="5" t="n"/>
      <c r="V233" s="5" t="n"/>
      <c r="Z233" s="5" t="n"/>
    </row>
    <row r="234">
      <c r="D234" s="5" t="n"/>
      <c r="E234" s="5" t="n"/>
      <c r="F234" s="5" t="n"/>
      <c r="K234" s="5" t="n"/>
      <c r="S234" s="5" t="n"/>
      <c r="V234" s="5" t="n"/>
      <c r="Z234" s="5" t="n"/>
    </row>
    <row r="235">
      <c r="D235" s="5" t="n"/>
      <c r="E235" s="5" t="n"/>
      <c r="F235" s="5" t="n"/>
      <c r="K235" s="5" t="n"/>
      <c r="S235" s="5" t="n"/>
      <c r="V235" s="5" t="n"/>
      <c r="Z235" s="5" t="n"/>
    </row>
    <row r="236">
      <c r="D236" s="5" t="n"/>
      <c r="E236" s="5" t="n"/>
      <c r="F236" s="5" t="n"/>
      <c r="K236" s="5" t="n"/>
      <c r="S236" s="5" t="n"/>
      <c r="V236" s="5" t="n"/>
      <c r="Z236" s="5" t="n"/>
    </row>
    <row r="237">
      <c r="D237" s="5" t="n"/>
      <c r="E237" s="5" t="n"/>
      <c r="F237" s="5" t="n"/>
      <c r="K237" s="5" t="n"/>
      <c r="S237" s="5" t="n"/>
      <c r="V237" s="5" t="n"/>
      <c r="Z237" s="5" t="n"/>
    </row>
    <row r="238">
      <c r="D238" s="5" t="n"/>
      <c r="E238" s="5" t="n"/>
      <c r="F238" s="5" t="n"/>
      <c r="K238" s="5" t="n"/>
      <c r="S238" s="5" t="n"/>
      <c r="V238" s="5" t="n"/>
      <c r="Z238" s="5" t="n"/>
    </row>
    <row r="239">
      <c r="D239" s="5" t="n"/>
      <c r="E239" s="5" t="n"/>
      <c r="F239" s="5" t="n"/>
      <c r="K239" s="5" t="n"/>
      <c r="S239" s="5" t="n"/>
      <c r="V239" s="5" t="n"/>
      <c r="Z239" s="5" t="n"/>
    </row>
    <row r="240">
      <c r="D240" s="5" t="n"/>
      <c r="E240" s="5" t="n"/>
      <c r="F240" s="5" t="n"/>
      <c r="K240" s="5" t="n"/>
      <c r="S240" s="5" t="n"/>
      <c r="V240" s="5" t="n"/>
      <c r="Z240" s="5" t="n"/>
    </row>
    <row r="241">
      <c r="D241" s="5" t="n"/>
      <c r="E241" s="5" t="n"/>
      <c r="F241" s="5" t="n"/>
      <c r="K241" s="5" t="n"/>
      <c r="S241" s="5" t="n"/>
      <c r="V241" s="5" t="n"/>
      <c r="Z241" s="5" t="n"/>
    </row>
    <row r="242">
      <c r="D242" s="5" t="n"/>
      <c r="E242" s="5" t="n"/>
      <c r="F242" s="5" t="n"/>
      <c r="K242" s="5" t="n"/>
      <c r="S242" s="5" t="n"/>
      <c r="V242" s="5" t="n"/>
      <c r="Z242" s="5" t="n"/>
    </row>
    <row r="243">
      <c r="D243" s="5" t="n"/>
      <c r="E243" s="5" t="n"/>
      <c r="F243" s="5" t="n"/>
      <c r="K243" s="5" t="n"/>
      <c r="S243" s="5" t="n"/>
      <c r="V243" s="5" t="n"/>
      <c r="Z243" s="5" t="n"/>
    </row>
    <row r="244">
      <c r="D244" s="5" t="n"/>
      <c r="E244" s="5" t="n"/>
      <c r="F244" s="5" t="n"/>
      <c r="K244" s="5" t="n"/>
      <c r="S244" s="5" t="n"/>
      <c r="V244" s="5" t="n"/>
      <c r="Z244" s="5" t="n"/>
    </row>
    <row r="245">
      <c r="D245" s="5" t="n"/>
      <c r="E245" s="5" t="n"/>
      <c r="F245" s="5" t="n"/>
      <c r="K245" s="5" t="n"/>
      <c r="S245" s="5" t="n"/>
      <c r="V245" s="5" t="n"/>
      <c r="Z245" s="5" t="n"/>
    </row>
    <row r="246">
      <c r="D246" s="5" t="n"/>
      <c r="E246" s="5" t="n"/>
      <c r="F246" s="5" t="n"/>
      <c r="K246" s="5" t="n"/>
      <c r="S246" s="5" t="n"/>
      <c r="V246" s="5" t="n"/>
      <c r="Z246" s="5" t="n"/>
    </row>
    <row r="247">
      <c r="D247" s="5" t="n"/>
      <c r="E247" s="5" t="n"/>
      <c r="F247" s="5" t="n"/>
      <c r="K247" s="5" t="n"/>
      <c r="S247" s="5" t="n"/>
      <c r="V247" s="5" t="n"/>
      <c r="Z247" s="5" t="n"/>
    </row>
    <row r="248">
      <c r="D248" s="5" t="n"/>
      <c r="E248" s="5" t="n"/>
      <c r="F248" s="5" t="n"/>
      <c r="K248" s="5" t="n"/>
      <c r="S248" s="5" t="n"/>
      <c r="V248" s="5" t="n"/>
      <c r="Z248" s="5" t="n"/>
    </row>
    <row r="249">
      <c r="D249" s="5" t="n"/>
      <c r="E249" s="5" t="n"/>
      <c r="F249" s="5" t="n"/>
      <c r="K249" s="5" t="n"/>
      <c r="S249" s="5" t="n"/>
      <c r="V249" s="5" t="n"/>
      <c r="Z249" s="5" t="n"/>
    </row>
    <row r="250">
      <c r="D250" s="5" t="n"/>
      <c r="E250" s="5" t="n"/>
      <c r="F250" s="5" t="n"/>
      <c r="K250" s="5" t="n"/>
      <c r="S250" s="5" t="n"/>
      <c r="V250" s="5" t="n"/>
      <c r="Z250" s="5" t="n"/>
    </row>
    <row r="251">
      <c r="D251" s="5" t="n"/>
      <c r="E251" s="5" t="n"/>
      <c r="F251" s="5" t="n"/>
      <c r="K251" s="5" t="n"/>
      <c r="S251" s="5" t="n"/>
      <c r="V251" s="5" t="n"/>
      <c r="Z251" s="5" t="n"/>
    </row>
    <row r="252">
      <c r="D252" s="5" t="n"/>
      <c r="E252" s="5" t="n"/>
      <c r="F252" s="5" t="n"/>
      <c r="K252" s="5" t="n"/>
      <c r="S252" s="5" t="n"/>
      <c r="V252" s="5" t="n"/>
      <c r="Z252" s="5" t="n"/>
    </row>
    <row r="253">
      <c r="D253" s="5" t="n"/>
      <c r="E253" s="5" t="n"/>
      <c r="F253" s="5" t="n"/>
      <c r="K253" s="5" t="n"/>
      <c r="S253" s="5" t="n"/>
      <c r="V253" s="5" t="n"/>
      <c r="Z253" s="5" t="n"/>
    </row>
    <row r="254">
      <c r="D254" s="5" t="n"/>
      <c r="E254" s="5" t="n"/>
      <c r="F254" s="5" t="n"/>
      <c r="K254" s="5" t="n"/>
      <c r="S254" s="5" t="n"/>
      <c r="V254" s="5" t="n"/>
      <c r="Z254" s="5" t="n"/>
    </row>
    <row r="255">
      <c r="D255" s="5" t="n"/>
      <c r="E255" s="5" t="n"/>
      <c r="F255" s="5" t="n"/>
      <c r="K255" s="5" t="n"/>
      <c r="S255" s="5" t="n"/>
      <c r="V255" s="5" t="n"/>
      <c r="Z255" s="5" t="n"/>
    </row>
    <row r="256">
      <c r="D256" s="5" t="n"/>
      <c r="E256" s="5" t="n"/>
      <c r="F256" s="5" t="n"/>
      <c r="K256" s="5" t="n"/>
      <c r="S256" s="5" t="n"/>
      <c r="V256" s="5" t="n"/>
      <c r="Z256" s="5" t="n"/>
    </row>
    <row r="257">
      <c r="D257" s="5" t="n"/>
      <c r="E257" s="5" t="n"/>
      <c r="F257" s="5" t="n"/>
      <c r="K257" s="5" t="n"/>
      <c r="S257" s="5" t="n"/>
      <c r="V257" s="5" t="n"/>
      <c r="Z257" s="5" t="n"/>
    </row>
    <row r="258">
      <c r="D258" s="5" t="n"/>
      <c r="E258" s="5" t="n"/>
      <c r="F258" s="5" t="n"/>
      <c r="K258" s="5" t="n"/>
      <c r="S258" s="5" t="n"/>
      <c r="V258" s="5" t="n"/>
      <c r="Z258" s="5" t="n"/>
    </row>
    <row r="259">
      <c r="D259" s="5" t="n"/>
      <c r="E259" s="5" t="n"/>
      <c r="F259" s="5" t="n"/>
      <c r="K259" s="5" t="n"/>
      <c r="S259" s="5" t="n"/>
      <c r="V259" s="5" t="n"/>
      <c r="Z259" s="5" t="n"/>
    </row>
    <row r="260">
      <c r="D260" s="5" t="n"/>
      <c r="E260" s="5" t="n"/>
      <c r="F260" s="5" t="n"/>
      <c r="K260" s="5" t="n"/>
      <c r="S260" s="5" t="n"/>
      <c r="V260" s="5" t="n"/>
      <c r="Z260" s="5" t="n"/>
    </row>
    <row r="261">
      <c r="D261" s="5" t="n"/>
      <c r="E261" s="5" t="n"/>
      <c r="F261" s="5" t="n"/>
      <c r="K261" s="5" t="n"/>
      <c r="S261" s="5" t="n"/>
      <c r="V261" s="5" t="n"/>
      <c r="Z261" s="5" t="n"/>
    </row>
    <row r="262">
      <c r="D262" s="5" t="n"/>
      <c r="E262" s="5" t="n"/>
      <c r="F262" s="5" t="n"/>
      <c r="K262" s="5" t="n"/>
      <c r="S262" s="5" t="n"/>
      <c r="V262" s="5" t="n"/>
      <c r="Z262" s="5" t="n"/>
    </row>
    <row r="263">
      <c r="D263" s="5" t="n"/>
      <c r="E263" s="5" t="n"/>
      <c r="F263" s="5" t="n"/>
      <c r="K263" s="5" t="n"/>
      <c r="S263" s="5" t="n"/>
      <c r="V263" s="5" t="n"/>
      <c r="Z263" s="5" t="n"/>
    </row>
    <row r="264">
      <c r="D264" s="5" t="n"/>
      <c r="E264" s="5" t="n"/>
      <c r="F264" s="5" t="n"/>
      <c r="K264" s="5" t="n"/>
      <c r="S264" s="5" t="n"/>
      <c r="V264" s="5" t="n"/>
      <c r="Z264" s="5" t="n"/>
    </row>
    <row r="265">
      <c r="D265" s="5" t="n"/>
      <c r="E265" s="5" t="n"/>
      <c r="F265" s="5" t="n"/>
      <c r="K265" s="5" t="n"/>
      <c r="S265" s="5" t="n"/>
      <c r="V265" s="5" t="n"/>
      <c r="Z265" s="5" t="n"/>
    </row>
    <row r="266">
      <c r="D266" s="5" t="n"/>
      <c r="E266" s="5" t="n"/>
      <c r="F266" s="5" t="n"/>
      <c r="K266" s="5" t="n"/>
      <c r="S266" s="5" t="n"/>
      <c r="V266" s="5" t="n"/>
      <c r="Z266" s="5" t="n"/>
    </row>
    <row r="267">
      <c r="D267" s="5" t="n"/>
      <c r="E267" s="5" t="n"/>
      <c r="F267" s="5" t="n"/>
      <c r="K267" s="5" t="n"/>
      <c r="S267" s="5" t="n"/>
      <c r="V267" s="5" t="n"/>
      <c r="Z267" s="5" t="n"/>
    </row>
    <row r="268">
      <c r="D268" s="5" t="n"/>
      <c r="E268" s="5" t="n"/>
      <c r="F268" s="5" t="n"/>
      <c r="K268" s="5" t="n"/>
      <c r="S268" s="5" t="n"/>
      <c r="V268" s="5" t="n"/>
      <c r="Z268" s="5" t="n"/>
    </row>
    <row r="269">
      <c r="D269" s="5" t="n"/>
      <c r="E269" s="5" t="n"/>
      <c r="F269" s="5" t="n"/>
      <c r="K269" s="5" t="n"/>
      <c r="S269" s="5" t="n"/>
      <c r="V269" s="5" t="n"/>
      <c r="Z269" s="5" t="n"/>
    </row>
    <row r="270">
      <c r="D270" s="5" t="n"/>
      <c r="E270" s="5" t="n"/>
      <c r="F270" s="5" t="n"/>
      <c r="K270" s="5" t="n"/>
      <c r="S270" s="5" t="n"/>
      <c r="V270" s="5" t="n"/>
      <c r="Z270" s="5" t="n"/>
    </row>
    <row r="271">
      <c r="D271" s="5" t="n"/>
      <c r="E271" s="5" t="n"/>
      <c r="F271" s="5" t="n"/>
      <c r="K271" s="5" t="n"/>
      <c r="S271" s="5" t="n"/>
      <c r="V271" s="5" t="n"/>
      <c r="Z271" s="5" t="n"/>
    </row>
    <row r="272">
      <c r="D272" s="5" t="n"/>
      <c r="E272" s="5" t="n"/>
      <c r="F272" s="5" t="n"/>
      <c r="K272" s="5" t="n"/>
      <c r="S272" s="5" t="n"/>
      <c r="V272" s="5" t="n"/>
      <c r="Z272" s="5" t="n"/>
    </row>
    <row r="273">
      <c r="D273" s="5" t="n"/>
      <c r="E273" s="5" t="n"/>
      <c r="F273" s="5" t="n"/>
      <c r="K273" s="5" t="n"/>
      <c r="S273" s="5" t="n"/>
      <c r="V273" s="5" t="n"/>
      <c r="Z273" s="5" t="n"/>
    </row>
    <row r="274">
      <c r="D274" s="5" t="n"/>
      <c r="E274" s="5" t="n"/>
      <c r="F274" s="5" t="n"/>
      <c r="K274" s="5" t="n"/>
      <c r="S274" s="5" t="n"/>
      <c r="V274" s="5" t="n"/>
      <c r="Z274" s="5" t="n"/>
    </row>
    <row r="275">
      <c r="D275" s="5" t="n"/>
      <c r="E275" s="5" t="n"/>
      <c r="F275" s="5" t="n"/>
      <c r="K275" s="5" t="n"/>
      <c r="S275" s="5" t="n"/>
      <c r="V275" s="5" t="n"/>
      <c r="Z275" s="5" t="n"/>
    </row>
    <row r="276">
      <c r="D276" s="5" t="n"/>
      <c r="E276" s="5" t="n"/>
      <c r="F276" s="5" t="n"/>
      <c r="K276" s="5" t="n"/>
      <c r="S276" s="5" t="n"/>
      <c r="V276" s="5" t="n"/>
      <c r="Z276" s="5" t="n"/>
    </row>
    <row r="277">
      <c r="D277" s="5" t="n"/>
      <c r="E277" s="5" t="n"/>
      <c r="F277" s="5" t="n"/>
      <c r="K277" s="5" t="n"/>
      <c r="S277" s="5" t="n"/>
      <c r="V277" s="5" t="n"/>
      <c r="Z277" s="5" t="n"/>
    </row>
    <row r="278">
      <c r="D278" s="5" t="n"/>
      <c r="E278" s="5" t="n"/>
      <c r="F278" s="5" t="n"/>
      <c r="K278" s="5" t="n"/>
      <c r="S278" s="5" t="n"/>
      <c r="V278" s="5" t="n"/>
      <c r="Z278" s="5" t="n"/>
    </row>
    <row r="279">
      <c r="D279" s="5" t="n"/>
      <c r="E279" s="5" t="n"/>
      <c r="F279" s="5" t="n"/>
      <c r="K279" s="5" t="n"/>
      <c r="S279" s="5" t="n"/>
      <c r="V279" s="5" t="n"/>
      <c r="Z279" s="5" t="n"/>
    </row>
    <row r="280">
      <c r="D280" s="5" t="n"/>
      <c r="E280" s="5" t="n"/>
      <c r="F280" s="5" t="n"/>
      <c r="K280" s="5" t="n"/>
      <c r="S280" s="5" t="n"/>
      <c r="V280" s="5" t="n"/>
      <c r="Z280" s="5" t="n"/>
    </row>
    <row r="281">
      <c r="D281" s="5" t="n"/>
      <c r="E281" s="5" t="n"/>
      <c r="F281" s="5" t="n"/>
      <c r="K281" s="5" t="n"/>
      <c r="S281" s="5" t="n"/>
      <c r="V281" s="5" t="n"/>
      <c r="Z281" s="5" t="n"/>
    </row>
    <row r="282">
      <c r="D282" s="5" t="n"/>
      <c r="E282" s="5" t="n"/>
      <c r="F282" s="5" t="n"/>
      <c r="K282" s="5" t="n"/>
      <c r="S282" s="5" t="n"/>
      <c r="V282" s="5" t="n"/>
      <c r="Z282" s="5" t="n"/>
    </row>
    <row r="283">
      <c r="D283" s="5" t="n"/>
      <c r="E283" s="5" t="n"/>
      <c r="F283" s="5" t="n"/>
      <c r="K283" s="5" t="n"/>
      <c r="S283" s="5" t="n"/>
      <c r="V283" s="5" t="n"/>
      <c r="Z283" s="5" t="n"/>
    </row>
    <row r="284">
      <c r="D284" s="5" t="n"/>
      <c r="E284" s="5" t="n"/>
      <c r="F284" s="5" t="n"/>
      <c r="K284" s="5" t="n"/>
      <c r="S284" s="5" t="n"/>
      <c r="V284" s="5" t="n"/>
      <c r="Z284" s="5" t="n"/>
    </row>
    <row r="285">
      <c r="D285" s="5" t="n"/>
      <c r="E285" s="5" t="n"/>
      <c r="F285" s="5" t="n"/>
      <c r="K285" s="5" t="n"/>
      <c r="S285" s="5" t="n"/>
      <c r="V285" s="5" t="n"/>
      <c r="Z285" s="5" t="n"/>
    </row>
    <row r="286">
      <c r="D286" s="5" t="n"/>
      <c r="E286" s="5" t="n"/>
      <c r="F286" s="5" t="n"/>
      <c r="K286" s="5" t="n"/>
      <c r="S286" s="5" t="n"/>
      <c r="V286" s="5" t="n"/>
      <c r="Z286" s="5" t="n"/>
    </row>
    <row r="287">
      <c r="D287" s="5" t="n"/>
      <c r="E287" s="5" t="n"/>
      <c r="F287" s="5" t="n"/>
      <c r="K287" s="5" t="n"/>
      <c r="S287" s="5" t="n"/>
      <c r="V287" s="5" t="n"/>
      <c r="Z287" s="5" t="n"/>
    </row>
    <row r="288">
      <c r="D288" s="5" t="n"/>
      <c r="E288" s="5" t="n"/>
      <c r="F288" s="5" t="n"/>
      <c r="K288" s="5" t="n"/>
      <c r="S288" s="5" t="n"/>
      <c r="V288" s="5" t="n"/>
      <c r="Z288" s="5" t="n"/>
    </row>
    <row r="289">
      <c r="D289" s="5" t="n"/>
      <c r="E289" s="5" t="n"/>
      <c r="F289" s="5" t="n"/>
      <c r="K289" s="5" t="n"/>
      <c r="S289" s="5" t="n"/>
      <c r="V289" s="5" t="n"/>
      <c r="Z289" s="5" t="n"/>
    </row>
    <row r="290">
      <c r="D290" s="5" t="n"/>
      <c r="E290" s="5" t="n"/>
      <c r="F290" s="5" t="n"/>
      <c r="K290" s="5" t="n"/>
      <c r="S290" s="5" t="n"/>
      <c r="V290" s="5" t="n"/>
      <c r="Z290" s="5" t="n"/>
    </row>
    <row r="291">
      <c r="D291" s="5" t="n"/>
      <c r="E291" s="5" t="n"/>
      <c r="F291" s="5" t="n"/>
      <c r="K291" s="5" t="n"/>
      <c r="S291" s="5" t="n"/>
      <c r="V291" s="5" t="n"/>
      <c r="Z291" s="5" t="n"/>
    </row>
    <row r="292">
      <c r="D292" s="5" t="n"/>
      <c r="E292" s="5" t="n"/>
      <c r="F292" s="5" t="n"/>
      <c r="K292" s="5" t="n"/>
      <c r="S292" s="5" t="n"/>
      <c r="V292" s="5" t="n"/>
      <c r="Z292" s="5" t="n"/>
    </row>
    <row r="293">
      <c r="D293" s="5" t="n"/>
      <c r="E293" s="5" t="n"/>
      <c r="F293" s="5" t="n"/>
      <c r="K293" s="5" t="n"/>
      <c r="S293" s="5" t="n"/>
      <c r="V293" s="5" t="n"/>
      <c r="Z293" s="5" t="n"/>
    </row>
    <row r="294">
      <c r="D294" s="5" t="n"/>
      <c r="E294" s="5" t="n"/>
      <c r="F294" s="5" t="n"/>
      <c r="K294" s="5" t="n"/>
      <c r="S294" s="5" t="n"/>
      <c r="V294" s="5" t="n"/>
      <c r="Z294" s="5" t="n"/>
    </row>
    <row r="295">
      <c r="D295" s="5" t="n"/>
      <c r="E295" s="5" t="n"/>
      <c r="F295" s="5" t="n"/>
      <c r="K295" s="5" t="n"/>
      <c r="S295" s="5" t="n"/>
      <c r="V295" s="5" t="n"/>
      <c r="Z295" s="5" t="n"/>
    </row>
    <row r="296">
      <c r="D296" s="5" t="n"/>
      <c r="E296" s="5" t="n"/>
      <c r="F296" s="5" t="n"/>
      <c r="K296" s="5" t="n"/>
      <c r="S296" s="5" t="n"/>
      <c r="V296" s="5" t="n"/>
      <c r="Z296" s="5" t="n"/>
    </row>
    <row r="297">
      <c r="D297" s="5" t="n"/>
      <c r="E297" s="5" t="n"/>
      <c r="F297" s="5" t="n"/>
      <c r="K297" s="5" t="n"/>
      <c r="S297" s="5" t="n"/>
      <c r="V297" s="5" t="n"/>
      <c r="Z297" s="5" t="n"/>
    </row>
    <row r="298">
      <c r="D298" s="5" t="n"/>
      <c r="E298" s="5" t="n"/>
      <c r="F298" s="5" t="n"/>
      <c r="K298" s="5" t="n"/>
      <c r="S298" s="5" t="n"/>
      <c r="V298" s="5" t="n"/>
      <c r="Z298" s="5" t="n"/>
    </row>
    <row r="299">
      <c r="D299" s="5" t="n"/>
      <c r="E299" s="5" t="n"/>
      <c r="F299" s="5" t="n"/>
      <c r="K299" s="5" t="n"/>
      <c r="S299" s="5" t="n"/>
      <c r="V299" s="5" t="n"/>
      <c r="Z299" s="5" t="n"/>
    </row>
    <row r="300">
      <c r="D300" s="5" t="n"/>
      <c r="E300" s="5" t="n"/>
      <c r="F300" s="5" t="n"/>
      <c r="K300" s="5" t="n"/>
      <c r="S300" s="5" t="n"/>
      <c r="V300" s="5" t="n"/>
      <c r="Z300" s="5" t="n"/>
    </row>
    <row r="301">
      <c r="D301" s="5" t="n"/>
      <c r="E301" s="5" t="n"/>
      <c r="F301" s="5" t="n"/>
      <c r="K301" s="5" t="n"/>
      <c r="S301" s="5" t="n"/>
      <c r="V301" s="5" t="n"/>
      <c r="Z301" s="5" t="n"/>
    </row>
    <row r="302">
      <c r="D302" s="5" t="n"/>
      <c r="E302" s="5" t="n"/>
      <c r="F302" s="5" t="n"/>
      <c r="K302" s="5" t="n"/>
      <c r="S302" s="5" t="n"/>
      <c r="V302" s="5" t="n"/>
      <c r="Z302" s="5" t="n"/>
    </row>
    <row r="303">
      <c r="D303" s="5" t="n"/>
      <c r="E303" s="5" t="n"/>
      <c r="F303" s="5" t="n"/>
      <c r="K303" s="5" t="n"/>
      <c r="S303" s="5" t="n"/>
      <c r="V303" s="5" t="n"/>
      <c r="Z303" s="5" t="n"/>
    </row>
    <row r="304">
      <c r="D304" s="5" t="n"/>
      <c r="E304" s="5" t="n"/>
      <c r="F304" s="5" t="n"/>
      <c r="K304" s="5" t="n"/>
      <c r="S304" s="5" t="n"/>
      <c r="V304" s="5" t="n"/>
      <c r="Z304" s="5" t="n"/>
    </row>
    <row r="305">
      <c r="D305" s="5" t="n"/>
      <c r="E305" s="5" t="n"/>
      <c r="F305" s="5" t="n"/>
      <c r="K305" s="5" t="n"/>
      <c r="S305" s="5" t="n"/>
      <c r="V305" s="5" t="n"/>
      <c r="Z305" s="5" t="n"/>
    </row>
    <row r="306">
      <c r="D306" s="5" t="n"/>
      <c r="E306" s="5" t="n"/>
      <c r="F306" s="5" t="n"/>
      <c r="K306" s="5" t="n"/>
      <c r="S306" s="5" t="n"/>
      <c r="V306" s="5" t="n"/>
      <c r="Z306" s="5" t="n"/>
    </row>
    <row r="307">
      <c r="D307" s="5" t="n"/>
      <c r="E307" s="5" t="n"/>
      <c r="F307" s="5" t="n"/>
      <c r="K307" s="5" t="n"/>
      <c r="S307" s="5" t="n"/>
      <c r="V307" s="5" t="n"/>
      <c r="Z307" s="5" t="n"/>
    </row>
    <row r="308">
      <c r="D308" s="5" t="n"/>
      <c r="E308" s="5" t="n"/>
      <c r="F308" s="5" t="n"/>
      <c r="K308" s="5" t="n"/>
      <c r="S308" s="5" t="n"/>
      <c r="V308" s="5" t="n"/>
      <c r="Z308" s="5" t="n"/>
    </row>
    <row r="309">
      <c r="D309" s="5" t="n"/>
      <c r="E309" s="5" t="n"/>
      <c r="F309" s="5" t="n"/>
      <c r="K309" s="5" t="n"/>
      <c r="S309" s="5" t="n"/>
      <c r="V309" s="5" t="n"/>
      <c r="Z309" s="5" t="n"/>
    </row>
    <row r="310">
      <c r="D310" s="5" t="n"/>
      <c r="E310" s="5" t="n"/>
      <c r="F310" s="5" t="n"/>
      <c r="K310" s="5" t="n"/>
      <c r="S310" s="5" t="n"/>
      <c r="V310" s="5" t="n"/>
      <c r="Z310" s="5" t="n"/>
    </row>
    <row r="311">
      <c r="D311" s="5" t="n"/>
      <c r="E311" s="5" t="n"/>
      <c r="F311" s="5" t="n"/>
      <c r="K311" s="5" t="n"/>
      <c r="S311" s="5" t="n"/>
      <c r="V311" s="5" t="n"/>
      <c r="Z311" s="5" t="n"/>
    </row>
    <row r="312">
      <c r="D312" s="5" t="n"/>
      <c r="E312" s="5" t="n"/>
      <c r="F312" s="5" t="n"/>
      <c r="K312" s="5" t="n"/>
      <c r="S312" s="5" t="n"/>
      <c r="V312" s="5" t="n"/>
      <c r="Z312" s="5" t="n"/>
    </row>
    <row r="313">
      <c r="D313" s="5" t="n"/>
      <c r="E313" s="5" t="n"/>
      <c r="F313" s="5" t="n"/>
      <c r="K313" s="5" t="n"/>
      <c r="S313" s="5" t="n"/>
      <c r="V313" s="5" t="n"/>
      <c r="Z313" s="5" t="n"/>
    </row>
    <row r="314">
      <c r="D314" s="5" t="n"/>
      <c r="E314" s="5" t="n"/>
      <c r="F314" s="5" t="n"/>
      <c r="K314" s="5" t="n"/>
      <c r="S314" s="5" t="n"/>
      <c r="V314" s="5" t="n"/>
      <c r="Z314" s="5" t="n"/>
    </row>
    <row r="315">
      <c r="D315" s="5" t="n"/>
      <c r="E315" s="5" t="n"/>
      <c r="F315" s="5" t="n"/>
      <c r="K315" s="5" t="n"/>
      <c r="S315" s="5" t="n"/>
      <c r="V315" s="5" t="n"/>
      <c r="Z315" s="5" t="n"/>
    </row>
    <row r="316">
      <c r="D316" s="5" t="n"/>
      <c r="E316" s="5" t="n"/>
      <c r="F316" s="5" t="n"/>
      <c r="K316" s="5" t="n"/>
      <c r="S316" s="5" t="n"/>
      <c r="V316" s="5" t="n"/>
      <c r="Z316" s="5" t="n"/>
    </row>
    <row r="317">
      <c r="D317" s="5" t="n"/>
      <c r="E317" s="5" t="n"/>
      <c r="F317" s="5" t="n"/>
      <c r="K317" s="5" t="n"/>
      <c r="S317" s="5" t="n"/>
      <c r="V317" s="5" t="n"/>
      <c r="Z317" s="5" t="n"/>
    </row>
    <row r="318">
      <c r="D318" s="5" t="n"/>
      <c r="E318" s="5" t="n"/>
      <c r="F318" s="5" t="n"/>
      <c r="K318" s="5" t="n"/>
      <c r="S318" s="5" t="n"/>
      <c r="V318" s="5" t="n"/>
      <c r="Z318" s="5" t="n"/>
    </row>
    <row r="319">
      <c r="D319" s="5" t="n"/>
      <c r="E319" s="5" t="n"/>
      <c r="F319" s="5" t="n"/>
      <c r="K319" s="5" t="n"/>
      <c r="S319" s="5" t="n"/>
      <c r="V319" s="5" t="n"/>
      <c r="Z319" s="5" t="n"/>
    </row>
    <row r="320">
      <c r="D320" s="5" t="n"/>
      <c r="E320" s="5" t="n"/>
      <c r="F320" s="5" t="n"/>
      <c r="K320" s="5" t="n"/>
      <c r="S320" s="5" t="n"/>
      <c r="V320" s="5" t="n"/>
      <c r="Z320" s="5" t="n"/>
    </row>
    <row r="321">
      <c r="D321" s="5" t="n"/>
      <c r="E321" s="5" t="n"/>
      <c r="F321" s="5" t="n"/>
      <c r="K321" s="5" t="n"/>
      <c r="S321" s="5" t="n"/>
      <c r="V321" s="5" t="n"/>
      <c r="Z321" s="5" t="n"/>
    </row>
    <row r="322">
      <c r="D322" s="5" t="n"/>
      <c r="E322" s="5" t="n"/>
      <c r="F322" s="5" t="n"/>
      <c r="K322" s="5" t="n"/>
      <c r="S322" s="5" t="n"/>
      <c r="V322" s="5" t="n"/>
      <c r="Z322" s="5" t="n"/>
    </row>
    <row r="323">
      <c r="D323" s="5" t="n"/>
      <c r="E323" s="5" t="n"/>
      <c r="F323" s="5" t="n"/>
      <c r="K323" s="5" t="n"/>
      <c r="S323" s="5" t="n"/>
      <c r="V323" s="5" t="n"/>
      <c r="Z323" s="5" t="n"/>
    </row>
    <row r="324">
      <c r="D324" s="5" t="n"/>
      <c r="E324" s="5" t="n"/>
      <c r="F324" s="5" t="n"/>
      <c r="K324" s="5" t="n"/>
      <c r="S324" s="5" t="n"/>
      <c r="V324" s="5" t="n"/>
      <c r="Z324" s="5" t="n"/>
    </row>
    <row r="325">
      <c r="D325" s="5" t="n"/>
      <c r="E325" s="5" t="n"/>
      <c r="F325" s="5" t="n"/>
      <c r="K325" s="5" t="n"/>
      <c r="S325" s="5" t="n"/>
      <c r="V325" s="5" t="n"/>
      <c r="Z325" s="5" t="n"/>
    </row>
    <row r="326">
      <c r="D326" s="5" t="n"/>
      <c r="E326" s="5" t="n"/>
      <c r="F326" s="5" t="n"/>
      <c r="K326" s="5" t="n"/>
      <c r="S326" s="5" t="n"/>
      <c r="V326" s="5" t="n"/>
      <c r="Z326" s="5" t="n"/>
    </row>
    <row r="327">
      <c r="D327" s="5" t="n"/>
      <c r="E327" s="5" t="n"/>
      <c r="F327" s="5" t="n"/>
      <c r="K327" s="5" t="n"/>
      <c r="S327" s="5" t="n"/>
      <c r="V327" s="5" t="n"/>
      <c r="Z327" s="5" t="n"/>
    </row>
    <row r="328">
      <c r="D328" s="5" t="n"/>
      <c r="E328" s="5" t="n"/>
      <c r="F328" s="5" t="n"/>
      <c r="K328" s="5" t="n"/>
      <c r="S328" s="5" t="n"/>
      <c r="V328" s="5" t="n"/>
      <c r="Z328" s="5" t="n"/>
    </row>
    <row r="329">
      <c r="D329" s="5" t="n"/>
      <c r="E329" s="5" t="n"/>
      <c r="F329" s="5" t="n"/>
      <c r="K329" s="5" t="n"/>
      <c r="S329" s="5" t="n"/>
      <c r="V329" s="5" t="n"/>
      <c r="Z329" s="5" t="n"/>
    </row>
    <row r="330">
      <c r="D330" s="5" t="n"/>
      <c r="E330" s="5" t="n"/>
      <c r="F330" s="5" t="n"/>
      <c r="K330" s="5" t="n"/>
      <c r="S330" s="5" t="n"/>
      <c r="V330" s="5" t="n"/>
      <c r="Z330" s="5" t="n"/>
    </row>
    <row r="331">
      <c r="D331" s="5" t="n"/>
      <c r="E331" s="5" t="n"/>
      <c r="F331" s="5" t="n"/>
      <c r="K331" s="5" t="n"/>
      <c r="S331" s="5" t="n"/>
      <c r="V331" s="5" t="n"/>
      <c r="Z331" s="5" t="n"/>
    </row>
    <row r="332">
      <c r="D332" s="5" t="n"/>
      <c r="E332" s="5" t="n"/>
      <c r="F332" s="5" t="n"/>
      <c r="K332" s="5" t="n"/>
      <c r="S332" s="5" t="n"/>
      <c r="V332" s="5" t="n"/>
      <c r="Z332" s="5" t="n"/>
    </row>
    <row r="333">
      <c r="D333" s="5" t="n"/>
      <c r="E333" s="5" t="n"/>
      <c r="F333" s="5" t="n"/>
      <c r="K333" s="5" t="n"/>
      <c r="S333" s="5" t="n"/>
      <c r="V333" s="5" t="n"/>
      <c r="Z333" s="5" t="n"/>
    </row>
    <row r="334">
      <c r="D334" s="5" t="n"/>
      <c r="E334" s="5" t="n"/>
      <c r="F334" s="5" t="n"/>
      <c r="K334" s="5" t="n"/>
      <c r="S334" s="5" t="n"/>
      <c r="V334" s="5" t="n"/>
      <c r="Z334" s="5" t="n"/>
    </row>
    <row r="335">
      <c r="D335" s="5" t="n"/>
      <c r="E335" s="5" t="n"/>
      <c r="F335" s="5" t="n"/>
      <c r="K335" s="5" t="n"/>
      <c r="S335" s="5" t="n"/>
      <c r="V335" s="5" t="n"/>
      <c r="Z335" s="5" t="n"/>
    </row>
    <row r="336">
      <c r="D336" s="5" t="n"/>
      <c r="E336" s="5" t="n"/>
      <c r="F336" s="5" t="n"/>
      <c r="K336" s="5" t="n"/>
      <c r="S336" s="5" t="n"/>
      <c r="V336" s="5" t="n"/>
      <c r="Z336" s="5" t="n"/>
    </row>
    <row r="337">
      <c r="D337" s="5" t="n"/>
      <c r="E337" s="5" t="n"/>
      <c r="F337" s="5" t="n"/>
      <c r="K337" s="5" t="n"/>
      <c r="S337" s="5" t="n"/>
      <c r="V337" s="5" t="n"/>
      <c r="Z337" s="5" t="n"/>
    </row>
    <row r="338">
      <c r="D338" s="5" t="n"/>
      <c r="E338" s="5" t="n"/>
      <c r="F338" s="5" t="n"/>
      <c r="K338" s="5" t="n"/>
      <c r="S338" s="5" t="n"/>
      <c r="V338" s="5" t="n"/>
      <c r="Z338" s="5" t="n"/>
    </row>
    <row r="339">
      <c r="D339" s="5" t="n"/>
      <c r="E339" s="5" t="n"/>
      <c r="F339" s="5" t="n"/>
      <c r="K339" s="5" t="n"/>
      <c r="S339" s="5" t="n"/>
      <c r="V339" s="5" t="n"/>
      <c r="Z339" s="5" t="n"/>
    </row>
    <row r="340">
      <c r="D340" s="5" t="n"/>
      <c r="E340" s="5" t="n"/>
      <c r="F340" s="5" t="n"/>
      <c r="K340" s="5" t="n"/>
      <c r="S340" s="5" t="n"/>
      <c r="V340" s="5" t="n"/>
      <c r="Z340" s="5" t="n"/>
    </row>
    <row r="341">
      <c r="D341" s="5" t="n"/>
      <c r="E341" s="5" t="n"/>
      <c r="F341" s="5" t="n"/>
      <c r="K341" s="5" t="n"/>
      <c r="S341" s="5" t="n"/>
      <c r="V341" s="5" t="n"/>
      <c r="Z341" s="5" t="n"/>
    </row>
    <row r="342">
      <c r="D342" s="5" t="n"/>
      <c r="E342" s="5" t="n"/>
      <c r="F342" s="5" t="n"/>
      <c r="K342" s="5" t="n"/>
      <c r="S342" s="5" t="n"/>
      <c r="V342" s="5" t="n"/>
      <c r="Z342" s="5" t="n"/>
    </row>
    <row r="343">
      <c r="D343" s="5" t="n"/>
      <c r="E343" s="5" t="n"/>
      <c r="F343" s="5" t="n"/>
      <c r="K343" s="5" t="n"/>
      <c r="S343" s="5" t="n"/>
      <c r="V343" s="5" t="n"/>
      <c r="Z343" s="5" t="n"/>
    </row>
    <row r="344">
      <c r="D344" s="5" t="n"/>
      <c r="E344" s="5" t="n"/>
      <c r="F344" s="5" t="n"/>
      <c r="K344" s="5" t="n"/>
      <c r="S344" s="5" t="n"/>
      <c r="V344" s="5" t="n"/>
      <c r="Z344" s="5" t="n"/>
    </row>
    <row r="345">
      <c r="D345" s="5" t="n"/>
      <c r="E345" s="5" t="n"/>
      <c r="F345" s="5" t="n"/>
      <c r="K345" s="5" t="n"/>
      <c r="S345" s="5" t="n"/>
      <c r="V345" s="5" t="n"/>
      <c r="Z345" s="5" t="n"/>
    </row>
    <row r="346">
      <c r="D346" s="5" t="n"/>
      <c r="E346" s="5" t="n"/>
      <c r="F346" s="5" t="n"/>
      <c r="K346" s="5" t="n"/>
      <c r="S346" s="5" t="n"/>
      <c r="V346" s="5" t="n"/>
      <c r="Z346" s="5" t="n"/>
    </row>
    <row r="347">
      <c r="D347" s="5" t="n"/>
      <c r="E347" s="5" t="n"/>
      <c r="F347" s="5" t="n"/>
      <c r="K347" s="5" t="n"/>
      <c r="S347" s="5" t="n"/>
      <c r="V347" s="5" t="n"/>
      <c r="Z347" s="5" t="n"/>
    </row>
    <row r="348">
      <c r="D348" s="5" t="n"/>
      <c r="E348" s="5" t="n"/>
      <c r="F348" s="5" t="n"/>
      <c r="K348" s="5" t="n"/>
      <c r="S348" s="5" t="n"/>
      <c r="V348" s="5" t="n"/>
      <c r="Z348" s="5" t="n"/>
    </row>
    <row r="349">
      <c r="D349" s="5" t="n"/>
      <c r="E349" s="5" t="n"/>
      <c r="F349" s="5" t="n"/>
      <c r="K349" s="5" t="n"/>
      <c r="S349" s="5" t="n"/>
      <c r="V349" s="5" t="n"/>
      <c r="Z349" s="5" t="n"/>
    </row>
    <row r="350">
      <c r="D350" s="5" t="n"/>
      <c r="E350" s="5" t="n"/>
      <c r="F350" s="5" t="n"/>
      <c r="K350" s="5" t="n"/>
      <c r="S350" s="5" t="n"/>
      <c r="V350" s="5" t="n"/>
      <c r="Z350" s="5" t="n"/>
    </row>
    <row r="351">
      <c r="D351" s="5" t="n"/>
      <c r="E351" s="5" t="n"/>
      <c r="F351" s="5" t="n"/>
      <c r="K351" s="5" t="n"/>
      <c r="S351" s="5" t="n"/>
      <c r="V351" s="5" t="n"/>
      <c r="Z351" s="5" t="n"/>
    </row>
    <row r="352">
      <c r="D352" s="5" t="n"/>
      <c r="E352" s="5" t="n"/>
      <c r="F352" s="5" t="n"/>
      <c r="K352" s="5" t="n"/>
      <c r="S352" s="5" t="n"/>
      <c r="V352" s="5" t="n"/>
      <c r="Z352" s="5" t="n"/>
    </row>
    <row r="353">
      <c r="D353" s="5" t="n"/>
      <c r="E353" s="5" t="n"/>
      <c r="F353" s="5" t="n"/>
      <c r="K353" s="5" t="n"/>
      <c r="S353" s="5" t="n"/>
      <c r="V353" s="5" t="n"/>
      <c r="Z353" s="5" t="n"/>
    </row>
    <row r="354">
      <c r="D354" s="5" t="n"/>
      <c r="E354" s="5" t="n"/>
      <c r="F354" s="5" t="n"/>
      <c r="K354" s="5" t="n"/>
      <c r="S354" s="5" t="n"/>
      <c r="V354" s="5" t="n"/>
      <c r="Z354" s="5" t="n"/>
    </row>
    <row r="355">
      <c r="D355" s="5" t="n"/>
      <c r="E355" s="5" t="n"/>
      <c r="F355" s="5" t="n"/>
      <c r="K355" s="5" t="n"/>
      <c r="S355" s="5" t="n"/>
      <c r="V355" s="5" t="n"/>
      <c r="Z355" s="5" t="n"/>
    </row>
    <row r="356">
      <c r="D356" s="5" t="n"/>
      <c r="E356" s="5" t="n"/>
      <c r="F356" s="5" t="n"/>
      <c r="K356" s="5" t="n"/>
      <c r="S356" s="5" t="n"/>
      <c r="V356" s="5" t="n"/>
      <c r="Z356" s="5" t="n"/>
    </row>
    <row r="357">
      <c r="D357" s="5" t="n"/>
      <c r="E357" s="5" t="n"/>
      <c r="F357" s="5" t="n"/>
      <c r="K357" s="5" t="n"/>
      <c r="S357" s="5" t="n"/>
      <c r="V357" s="5" t="n"/>
      <c r="Z357" s="5" t="n"/>
    </row>
    <row r="358">
      <c r="D358" s="5" t="n"/>
      <c r="E358" s="5" t="n"/>
      <c r="F358" s="5" t="n"/>
      <c r="K358" s="5" t="n"/>
      <c r="S358" s="5" t="n"/>
      <c r="V358" s="5" t="n"/>
      <c r="Z358" s="5" t="n"/>
    </row>
    <row r="359">
      <c r="D359" s="5" t="n"/>
      <c r="E359" s="5" t="n"/>
      <c r="F359" s="5" t="n"/>
      <c r="K359" s="5" t="n"/>
      <c r="S359" s="5" t="n"/>
      <c r="V359" s="5" t="n"/>
      <c r="Z359" s="5" t="n"/>
    </row>
    <row r="360">
      <c r="D360" s="5" t="n"/>
      <c r="E360" s="5" t="n"/>
      <c r="F360" s="5" t="n"/>
      <c r="K360" s="5" t="n"/>
      <c r="S360" s="5" t="n"/>
      <c r="V360" s="5" t="n"/>
      <c r="Z360" s="5" t="n"/>
    </row>
    <row r="361">
      <c r="D361" s="5" t="n"/>
      <c r="E361" s="5" t="n"/>
      <c r="F361" s="5" t="n"/>
      <c r="K361" s="5" t="n"/>
      <c r="S361" s="5" t="n"/>
      <c r="V361" s="5" t="n"/>
      <c r="Z361" s="5" t="n"/>
    </row>
    <row r="362">
      <c r="D362" s="5" t="n"/>
      <c r="E362" s="5" t="n"/>
      <c r="F362" s="5" t="n"/>
      <c r="K362" s="5" t="n"/>
      <c r="S362" s="5" t="n"/>
      <c r="V362" s="5" t="n"/>
      <c r="Z362" s="5" t="n"/>
    </row>
    <row r="363">
      <c r="D363" s="5" t="n"/>
      <c r="E363" s="5" t="n"/>
      <c r="F363" s="5" t="n"/>
      <c r="K363" s="5" t="n"/>
      <c r="S363" s="5" t="n"/>
      <c r="V363" s="5" t="n"/>
      <c r="Z363" s="5" t="n"/>
    </row>
    <row r="364">
      <c r="D364" s="5" t="n"/>
      <c r="E364" s="5" t="n"/>
      <c r="F364" s="5" t="n"/>
      <c r="K364" s="5" t="n"/>
      <c r="S364" s="5" t="n"/>
      <c r="V364" s="5" t="n"/>
      <c r="Z364" s="5" t="n"/>
    </row>
    <row r="365">
      <c r="D365" s="5" t="n"/>
      <c r="E365" s="5" t="n"/>
      <c r="F365" s="5" t="n"/>
      <c r="K365" s="5" t="n"/>
      <c r="S365" s="5" t="n"/>
      <c r="V365" s="5" t="n"/>
      <c r="Z365" s="5" t="n"/>
    </row>
    <row r="366">
      <c r="D366" s="5" t="n"/>
      <c r="E366" s="5" t="n"/>
      <c r="F366" s="5" t="n"/>
      <c r="K366" s="5" t="n"/>
      <c r="S366" s="5" t="n"/>
      <c r="V366" s="5" t="n"/>
      <c r="Z366" s="5" t="n"/>
    </row>
    <row r="367">
      <c r="D367" s="5" t="n"/>
      <c r="E367" s="5" t="n"/>
      <c r="F367" s="5" t="n"/>
      <c r="K367" s="5" t="n"/>
      <c r="S367" s="5" t="n"/>
      <c r="V367" s="5" t="n"/>
      <c r="Z367" s="5" t="n"/>
    </row>
    <row r="368">
      <c r="D368" s="5" t="n"/>
      <c r="E368" s="5" t="n"/>
      <c r="F368" s="5" t="n"/>
      <c r="K368" s="5" t="n"/>
      <c r="S368" s="5" t="n"/>
      <c r="V368" s="5" t="n"/>
      <c r="Z368" s="5" t="n"/>
    </row>
    <row r="369">
      <c r="D369" s="5" t="n"/>
      <c r="E369" s="5" t="n"/>
      <c r="F369" s="5" t="n"/>
      <c r="K369" s="5" t="n"/>
      <c r="S369" s="5" t="n"/>
      <c r="V369" s="5" t="n"/>
      <c r="Z369" s="5" t="n"/>
    </row>
    <row r="370">
      <c r="D370" s="5" t="n"/>
      <c r="E370" s="5" t="n"/>
      <c r="F370" s="5" t="n"/>
      <c r="K370" s="5" t="n"/>
      <c r="S370" s="5" t="n"/>
      <c r="V370" s="5" t="n"/>
      <c r="Z370" s="5" t="n"/>
    </row>
    <row r="371">
      <c r="D371" s="5" t="n"/>
      <c r="E371" s="5" t="n"/>
      <c r="F371" s="5" t="n"/>
      <c r="K371" s="5" t="n"/>
      <c r="S371" s="5" t="n"/>
      <c r="V371" s="5" t="n"/>
      <c r="Z371" s="5" t="n"/>
    </row>
    <row r="372">
      <c r="D372" s="5" t="n"/>
      <c r="E372" s="5" t="n"/>
      <c r="F372" s="5" t="n"/>
      <c r="K372" s="5" t="n"/>
      <c r="S372" s="5" t="n"/>
      <c r="V372" s="5" t="n"/>
      <c r="Z372" s="5" t="n"/>
    </row>
    <row r="373">
      <c r="D373" s="5" t="n"/>
      <c r="E373" s="5" t="n"/>
      <c r="F373" s="5" t="n"/>
      <c r="K373" s="5" t="n"/>
      <c r="S373" s="5" t="n"/>
      <c r="V373" s="5" t="n"/>
      <c r="Z373" s="5" t="n"/>
    </row>
    <row r="374">
      <c r="D374" s="5" t="n"/>
      <c r="E374" s="5" t="n"/>
      <c r="F374" s="5" t="n"/>
      <c r="K374" s="5" t="n"/>
      <c r="S374" s="5" t="n"/>
      <c r="V374" s="5" t="n"/>
      <c r="Z374" s="5" t="n"/>
    </row>
    <row r="375">
      <c r="D375" s="5" t="n"/>
      <c r="E375" s="5" t="n"/>
      <c r="F375" s="5" t="n"/>
      <c r="K375" s="5" t="n"/>
      <c r="S375" s="5" t="n"/>
      <c r="V375" s="5" t="n"/>
      <c r="Z375" s="5" t="n"/>
    </row>
    <row r="376">
      <c r="D376" s="5" t="n"/>
      <c r="E376" s="5" t="n"/>
      <c r="F376" s="5" t="n"/>
      <c r="K376" s="5" t="n"/>
      <c r="S376" s="5" t="n"/>
      <c r="V376" s="5" t="n"/>
      <c r="Z376" s="5" t="n"/>
    </row>
    <row r="377">
      <c r="D377" s="5" t="n"/>
      <c r="E377" s="5" t="n"/>
      <c r="F377" s="5" t="n"/>
      <c r="K377" s="5" t="n"/>
      <c r="S377" s="5" t="n"/>
      <c r="V377" s="5" t="n"/>
      <c r="Z377" s="5" t="n"/>
    </row>
    <row r="378">
      <c r="D378" s="5" t="n"/>
      <c r="E378" s="5" t="n"/>
      <c r="F378" s="5" t="n"/>
      <c r="K378" s="5" t="n"/>
      <c r="S378" s="5" t="n"/>
      <c r="V378" s="5" t="n"/>
      <c r="Z378" s="5" t="n"/>
    </row>
    <row r="379">
      <c r="D379" s="5" t="n"/>
      <c r="E379" s="5" t="n"/>
      <c r="F379" s="5" t="n"/>
      <c r="K379" s="5" t="n"/>
      <c r="S379" s="5" t="n"/>
      <c r="V379" s="5" t="n"/>
      <c r="Z379" s="5" t="n"/>
    </row>
    <row r="380">
      <c r="D380" s="5" t="n"/>
      <c r="E380" s="5" t="n"/>
      <c r="F380" s="5" t="n"/>
      <c r="K380" s="5" t="n"/>
      <c r="S380" s="5" t="n"/>
      <c r="V380" s="5" t="n"/>
      <c r="Z380" s="5" t="n"/>
    </row>
    <row r="381">
      <c r="D381" s="5" t="n"/>
      <c r="E381" s="5" t="n"/>
      <c r="F381" s="5" t="n"/>
      <c r="K381" s="5" t="n"/>
      <c r="S381" s="5" t="n"/>
      <c r="V381" s="5" t="n"/>
      <c r="Z381" s="5" t="n"/>
    </row>
    <row r="382">
      <c r="D382" s="5" t="n"/>
      <c r="E382" s="5" t="n"/>
      <c r="F382" s="5" t="n"/>
      <c r="K382" s="5" t="n"/>
      <c r="S382" s="5" t="n"/>
      <c r="V382" s="5" t="n"/>
      <c r="Z382" s="5" t="n"/>
    </row>
    <row r="383">
      <c r="D383" s="5" t="n"/>
      <c r="E383" s="5" t="n"/>
      <c r="F383" s="5" t="n"/>
      <c r="K383" s="5" t="n"/>
      <c r="S383" s="5" t="n"/>
      <c r="V383" s="5" t="n"/>
      <c r="Z383" s="5" t="n"/>
    </row>
    <row r="384">
      <c r="D384" s="5" t="n"/>
      <c r="E384" s="5" t="n"/>
      <c r="F384" s="5" t="n"/>
      <c r="K384" s="5" t="n"/>
      <c r="S384" s="5" t="n"/>
      <c r="V384" s="5" t="n"/>
      <c r="Z384" s="5" t="n"/>
    </row>
    <row r="385">
      <c r="D385" s="5" t="n"/>
      <c r="E385" s="5" t="n"/>
      <c r="F385" s="5" t="n"/>
      <c r="K385" s="5" t="n"/>
      <c r="S385" s="5" t="n"/>
      <c r="V385" s="5" t="n"/>
      <c r="Z385" s="5" t="n"/>
    </row>
    <row r="386">
      <c r="D386" s="5" t="n"/>
      <c r="E386" s="5" t="n"/>
      <c r="F386" s="5" t="n"/>
      <c r="K386" s="5" t="n"/>
      <c r="S386" s="5" t="n"/>
      <c r="V386" s="5" t="n"/>
      <c r="Z386" s="5" t="n"/>
    </row>
    <row r="387">
      <c r="D387" s="5" t="n"/>
      <c r="E387" s="5" t="n"/>
      <c r="F387" s="5" t="n"/>
      <c r="K387" s="5" t="n"/>
      <c r="S387" s="5" t="n"/>
      <c r="V387" s="5" t="n"/>
      <c r="Z387" s="5" t="n"/>
    </row>
    <row r="388">
      <c r="D388" s="5" t="n"/>
      <c r="E388" s="5" t="n"/>
      <c r="F388" s="5" t="n"/>
      <c r="K388" s="5" t="n"/>
      <c r="S388" s="5" t="n"/>
      <c r="V388" s="5" t="n"/>
      <c r="Z388" s="5" t="n"/>
    </row>
    <row r="389">
      <c r="D389" s="5" t="n"/>
      <c r="E389" s="5" t="n"/>
      <c r="F389" s="5" t="n"/>
      <c r="K389" s="5" t="n"/>
      <c r="S389" s="5" t="n"/>
      <c r="V389" s="5" t="n"/>
      <c r="Z389" s="5" t="n"/>
    </row>
    <row r="390">
      <c r="D390" s="5" t="n"/>
      <c r="E390" s="5" t="n"/>
      <c r="F390" s="5" t="n"/>
      <c r="K390" s="5" t="n"/>
      <c r="S390" s="5" t="n"/>
      <c r="V390" s="5" t="n"/>
      <c r="Z390" s="5" t="n"/>
    </row>
    <row r="391">
      <c r="D391" s="5" t="n"/>
      <c r="E391" s="5" t="n"/>
      <c r="F391" s="5" t="n"/>
      <c r="K391" s="5" t="n"/>
      <c r="S391" s="5" t="n"/>
      <c r="V391" s="5" t="n"/>
      <c r="Z391" s="5" t="n"/>
    </row>
    <row r="392">
      <c r="D392" s="5" t="n"/>
      <c r="E392" s="5" t="n"/>
      <c r="F392" s="5" t="n"/>
      <c r="K392" s="5" t="n"/>
      <c r="S392" s="5" t="n"/>
      <c r="V392" s="5" t="n"/>
      <c r="Z392" s="5" t="n"/>
    </row>
    <row r="393">
      <c r="D393" s="5" t="n"/>
      <c r="E393" s="5" t="n"/>
      <c r="F393" s="5" t="n"/>
      <c r="K393" s="5" t="n"/>
      <c r="S393" s="5" t="n"/>
      <c r="V393" s="5" t="n"/>
      <c r="Z393" s="5" t="n"/>
    </row>
    <row r="394">
      <c r="D394" s="5" t="n"/>
      <c r="E394" s="5" t="n"/>
      <c r="F394" s="5" t="n"/>
      <c r="K394" s="5" t="n"/>
      <c r="S394" s="5" t="n"/>
      <c r="V394" s="5" t="n"/>
      <c r="Z394" s="5" t="n"/>
    </row>
    <row r="395">
      <c r="D395" s="5" t="n"/>
      <c r="E395" s="5" t="n"/>
      <c r="F395" s="5" t="n"/>
      <c r="K395" s="5" t="n"/>
      <c r="S395" s="5" t="n"/>
      <c r="V395" s="5" t="n"/>
      <c r="Z395" s="5" t="n"/>
    </row>
    <row r="396">
      <c r="D396" s="5" t="n"/>
      <c r="E396" s="5" t="n"/>
      <c r="F396" s="5" t="n"/>
      <c r="K396" s="5" t="n"/>
      <c r="S396" s="5" t="n"/>
      <c r="V396" s="5" t="n"/>
      <c r="Z396" s="5" t="n"/>
    </row>
    <row r="397">
      <c r="D397" s="5" t="n"/>
      <c r="E397" s="5" t="n"/>
      <c r="F397" s="5" t="n"/>
      <c r="K397" s="5" t="n"/>
      <c r="S397" s="5" t="n"/>
      <c r="V397" s="5" t="n"/>
      <c r="Z397" s="5" t="n"/>
    </row>
    <row r="398">
      <c r="D398" s="5" t="n"/>
      <c r="E398" s="5" t="n"/>
      <c r="F398" s="5" t="n"/>
      <c r="K398" s="5" t="n"/>
      <c r="S398" s="5" t="n"/>
      <c r="V398" s="5" t="n"/>
      <c r="Z398" s="5" t="n"/>
    </row>
    <row r="399">
      <c r="D399" s="5" t="n"/>
      <c r="E399" s="5" t="n"/>
      <c r="F399" s="5" t="n"/>
      <c r="K399" s="5" t="n"/>
      <c r="S399" s="5" t="n"/>
      <c r="V399" s="5" t="n"/>
      <c r="Z399" s="5" t="n"/>
    </row>
    <row r="400">
      <c r="D400" s="5" t="n"/>
      <c r="E400" s="5" t="n"/>
      <c r="F400" s="5" t="n"/>
      <c r="K400" s="5" t="n"/>
      <c r="S400" s="5" t="n"/>
      <c r="V400" s="5" t="n"/>
      <c r="Z400" s="5" t="n"/>
    </row>
    <row r="401">
      <c r="D401" s="5" t="n"/>
      <c r="E401" s="5" t="n"/>
      <c r="F401" s="5" t="n"/>
      <c r="K401" s="5" t="n"/>
      <c r="S401" s="5" t="n"/>
      <c r="V401" s="5" t="n"/>
      <c r="Z401" s="5" t="n"/>
    </row>
    <row r="402">
      <c r="D402" s="5" t="n"/>
      <c r="E402" s="5" t="n"/>
      <c r="F402" s="5" t="n"/>
      <c r="K402" s="5" t="n"/>
      <c r="S402" s="5" t="n"/>
      <c r="V402" s="5" t="n"/>
      <c r="Z402" s="5" t="n"/>
    </row>
    <row r="403">
      <c r="D403" s="5" t="n"/>
      <c r="E403" s="5" t="n"/>
      <c r="F403" s="5" t="n"/>
      <c r="K403" s="5" t="n"/>
      <c r="S403" s="5" t="n"/>
      <c r="V403" s="5" t="n"/>
      <c r="Z403" s="5" t="n"/>
    </row>
    <row r="404">
      <c r="D404" s="5" t="n"/>
      <c r="E404" s="5" t="n"/>
      <c r="F404" s="5" t="n"/>
      <c r="K404" s="5" t="n"/>
      <c r="S404" s="5" t="n"/>
      <c r="V404" s="5" t="n"/>
      <c r="Z404" s="5" t="n"/>
    </row>
    <row r="405">
      <c r="D405" s="5" t="n"/>
      <c r="E405" s="5" t="n"/>
      <c r="F405" s="5" t="n"/>
      <c r="K405" s="5" t="n"/>
      <c r="S405" s="5" t="n"/>
      <c r="V405" s="5" t="n"/>
      <c r="Z405" s="5" t="n"/>
    </row>
    <row r="406">
      <c r="D406" s="5" t="n"/>
      <c r="E406" s="5" t="n"/>
      <c r="F406" s="5" t="n"/>
      <c r="K406" s="5" t="n"/>
      <c r="S406" s="5" t="n"/>
      <c r="V406" s="5" t="n"/>
      <c r="Z406" s="5" t="n"/>
    </row>
    <row r="407">
      <c r="D407" s="5" t="n"/>
      <c r="E407" s="5" t="n"/>
      <c r="F407" s="5" t="n"/>
      <c r="K407" s="5" t="n"/>
      <c r="S407" s="5" t="n"/>
      <c r="V407" s="5" t="n"/>
      <c r="Z407" s="5" t="n"/>
    </row>
    <row r="408">
      <c r="D408" s="5" t="n"/>
      <c r="E408" s="5" t="n"/>
      <c r="F408" s="5" t="n"/>
      <c r="K408" s="5" t="n"/>
      <c r="S408" s="5" t="n"/>
      <c r="V408" s="5" t="n"/>
      <c r="Z408" s="5" t="n"/>
    </row>
    <row r="409">
      <c r="D409" s="5" t="n"/>
      <c r="E409" s="5" t="n"/>
      <c r="F409" s="5" t="n"/>
      <c r="K409" s="5" t="n"/>
      <c r="S409" s="5" t="n"/>
      <c r="V409" s="5" t="n"/>
      <c r="Z409" s="5" t="n"/>
    </row>
    <row r="410">
      <c r="D410" s="5" t="n"/>
      <c r="E410" s="5" t="n"/>
      <c r="F410" s="5" t="n"/>
      <c r="K410" s="5" t="n"/>
      <c r="S410" s="5" t="n"/>
      <c r="V410" s="5" t="n"/>
      <c r="Z410" s="5" t="n"/>
    </row>
    <row r="411">
      <c r="D411" s="5" t="n"/>
      <c r="E411" s="5" t="n"/>
      <c r="F411" s="5" t="n"/>
      <c r="K411" s="5" t="n"/>
      <c r="S411" s="5" t="n"/>
      <c r="V411" s="5" t="n"/>
      <c r="Z411" s="5" t="n"/>
    </row>
    <row r="412">
      <c r="D412" s="5" t="n"/>
      <c r="E412" s="5" t="n"/>
      <c r="F412" s="5" t="n"/>
      <c r="K412" s="5" t="n"/>
      <c r="S412" s="5" t="n"/>
      <c r="V412" s="5" t="n"/>
      <c r="Z412" s="5" t="n"/>
    </row>
    <row r="413">
      <c r="D413" s="5" t="n"/>
      <c r="E413" s="5" t="n"/>
      <c r="F413" s="5" t="n"/>
      <c r="K413" s="5" t="n"/>
      <c r="S413" s="5" t="n"/>
      <c r="V413" s="5" t="n"/>
      <c r="Z413" s="5" t="n"/>
    </row>
    <row r="414">
      <c r="D414" s="5" t="n"/>
      <c r="E414" s="5" t="n"/>
      <c r="F414" s="5" t="n"/>
      <c r="K414" s="5" t="n"/>
      <c r="S414" s="5" t="n"/>
      <c r="V414" s="5" t="n"/>
      <c r="Z414" s="5" t="n"/>
    </row>
    <row r="415">
      <c r="D415" s="5" t="n"/>
      <c r="E415" s="5" t="n"/>
      <c r="F415" s="5" t="n"/>
      <c r="K415" s="5" t="n"/>
      <c r="S415" s="5" t="n"/>
      <c r="V415" s="5" t="n"/>
      <c r="Z415" s="5" t="n"/>
    </row>
    <row r="416">
      <c r="D416" s="5" t="n"/>
      <c r="E416" s="5" t="n"/>
      <c r="F416" s="5" t="n"/>
      <c r="K416" s="5" t="n"/>
      <c r="S416" s="5" t="n"/>
      <c r="V416" s="5" t="n"/>
      <c r="Z416" s="5" t="n"/>
    </row>
    <row r="417">
      <c r="D417" s="5" t="n"/>
      <c r="E417" s="5" t="n"/>
      <c r="F417" s="5" t="n"/>
      <c r="K417" s="5" t="n"/>
      <c r="S417" s="5" t="n"/>
      <c r="V417" s="5" t="n"/>
      <c r="Z417" s="5" t="n"/>
    </row>
    <row r="418">
      <c r="D418" s="5" t="n"/>
      <c r="E418" s="5" t="n"/>
      <c r="F418" s="5" t="n"/>
      <c r="K418" s="5" t="n"/>
      <c r="S418" s="5" t="n"/>
      <c r="V418" s="5" t="n"/>
      <c r="Z418" s="5" t="n"/>
    </row>
    <row r="419">
      <c r="D419" s="5" t="n"/>
      <c r="E419" s="5" t="n"/>
      <c r="F419" s="5" t="n"/>
      <c r="K419" s="5" t="n"/>
      <c r="S419" s="5" t="n"/>
      <c r="V419" s="5" t="n"/>
      <c r="Z419" s="5" t="n"/>
    </row>
    <row r="420">
      <c r="D420" s="5" t="n"/>
      <c r="E420" s="5" t="n"/>
      <c r="F420" s="5" t="n"/>
      <c r="K420" s="5" t="n"/>
      <c r="S420" s="5" t="n"/>
      <c r="V420" s="5" t="n"/>
      <c r="Z420" s="5" t="n"/>
    </row>
    <row r="421">
      <c r="D421" s="5" t="n"/>
      <c r="E421" s="5" t="n"/>
      <c r="F421" s="5" t="n"/>
      <c r="K421" s="5" t="n"/>
      <c r="S421" s="5" t="n"/>
      <c r="V421" s="5" t="n"/>
      <c r="Z421" s="5" t="n"/>
    </row>
    <row r="422">
      <c r="D422" s="5" t="n"/>
      <c r="E422" s="5" t="n"/>
      <c r="F422" s="5" t="n"/>
      <c r="K422" s="5" t="n"/>
      <c r="S422" s="5" t="n"/>
      <c r="V422" s="5" t="n"/>
      <c r="Z422" s="5" t="n"/>
    </row>
    <row r="423">
      <c r="D423" s="5" t="n"/>
      <c r="E423" s="5" t="n"/>
      <c r="F423" s="5" t="n"/>
      <c r="K423" s="5" t="n"/>
      <c r="S423" s="5" t="n"/>
      <c r="V423" s="5" t="n"/>
      <c r="Z423" s="5" t="n"/>
    </row>
    <row r="424">
      <c r="D424" s="5" t="n"/>
      <c r="E424" s="5" t="n"/>
      <c r="F424" s="5" t="n"/>
      <c r="K424" s="5" t="n"/>
      <c r="S424" s="5" t="n"/>
      <c r="V424" s="5" t="n"/>
      <c r="Z424" s="5" t="n"/>
    </row>
    <row r="425">
      <c r="D425" s="5" t="n"/>
      <c r="E425" s="5" t="n"/>
      <c r="F425" s="5" t="n"/>
      <c r="K425" s="5" t="n"/>
      <c r="S425" s="5" t="n"/>
      <c r="V425" s="5" t="n"/>
      <c r="Z425" s="5" t="n"/>
    </row>
    <row r="426">
      <c r="D426" s="5" t="n"/>
      <c r="E426" s="5" t="n"/>
      <c r="F426" s="5" t="n"/>
      <c r="K426" s="5" t="n"/>
      <c r="S426" s="5" t="n"/>
      <c r="V426" s="5" t="n"/>
      <c r="Z426" s="5" t="n"/>
    </row>
    <row r="427">
      <c r="D427" s="5" t="n"/>
      <c r="E427" s="5" t="n"/>
      <c r="F427" s="5" t="n"/>
      <c r="K427" s="5" t="n"/>
      <c r="S427" s="5" t="n"/>
      <c r="V427" s="5" t="n"/>
      <c r="Z427" s="5" t="n"/>
    </row>
    <row r="428">
      <c r="D428" s="5" t="n"/>
      <c r="E428" s="5" t="n"/>
      <c r="F428" s="5" t="n"/>
      <c r="K428" s="5" t="n"/>
      <c r="S428" s="5" t="n"/>
      <c r="V428" s="5" t="n"/>
      <c r="Z428" s="5" t="n"/>
    </row>
    <row r="429">
      <c r="D429" s="5" t="n"/>
      <c r="E429" s="5" t="n"/>
      <c r="F429" s="5" t="n"/>
      <c r="K429" s="5" t="n"/>
      <c r="S429" s="5" t="n"/>
      <c r="V429" s="5" t="n"/>
      <c r="Z429" s="5" t="n"/>
    </row>
    <row r="430">
      <c r="D430" s="5" t="n"/>
      <c r="E430" s="5" t="n"/>
      <c r="F430" s="5" t="n"/>
      <c r="K430" s="5" t="n"/>
      <c r="S430" s="5" t="n"/>
      <c r="V430" s="5" t="n"/>
      <c r="Z430" s="5" t="n"/>
    </row>
    <row r="431">
      <c r="D431" s="5" t="n"/>
      <c r="E431" s="5" t="n"/>
      <c r="F431" s="5" t="n"/>
      <c r="K431" s="5" t="n"/>
      <c r="S431" s="5" t="n"/>
      <c r="V431" s="5" t="n"/>
      <c r="Z431" s="5" t="n"/>
    </row>
    <row r="432">
      <c r="D432" s="5" t="n"/>
      <c r="E432" s="5" t="n"/>
      <c r="F432" s="5" t="n"/>
      <c r="K432" s="5" t="n"/>
      <c r="S432" s="5" t="n"/>
      <c r="V432" s="5" t="n"/>
      <c r="Z432" s="5" t="n"/>
    </row>
    <row r="433">
      <c r="D433" s="5" t="n"/>
      <c r="E433" s="5" t="n"/>
      <c r="F433" s="5" t="n"/>
      <c r="K433" s="5" t="n"/>
      <c r="S433" s="5" t="n"/>
      <c r="V433" s="5" t="n"/>
      <c r="Z433" s="5" t="n"/>
    </row>
    <row r="434">
      <c r="D434" s="5" t="n"/>
      <c r="E434" s="5" t="n"/>
      <c r="F434" s="5" t="n"/>
      <c r="K434" s="5" t="n"/>
      <c r="S434" s="5" t="n"/>
      <c r="V434" s="5" t="n"/>
      <c r="Z434" s="5" t="n"/>
    </row>
    <row r="435">
      <c r="D435" s="5" t="n"/>
      <c r="E435" s="5" t="n"/>
      <c r="F435" s="5" t="n"/>
      <c r="K435" s="5" t="n"/>
      <c r="S435" s="5" t="n"/>
      <c r="V435" s="5" t="n"/>
      <c r="Z435" s="5" t="n"/>
    </row>
    <row r="436">
      <c r="D436" s="5" t="n"/>
      <c r="E436" s="5" t="n"/>
      <c r="F436" s="5" t="n"/>
      <c r="K436" s="5" t="n"/>
      <c r="S436" s="5" t="n"/>
      <c r="V436" s="5" t="n"/>
      <c r="Z436" s="5" t="n"/>
    </row>
    <row r="437">
      <c r="D437" s="5" t="n"/>
      <c r="E437" s="5" t="n"/>
      <c r="F437" s="5" t="n"/>
      <c r="K437" s="5" t="n"/>
      <c r="S437" s="5" t="n"/>
      <c r="V437" s="5" t="n"/>
      <c r="Z437" s="5" t="n"/>
    </row>
    <row r="438">
      <c r="D438" s="5" t="n"/>
      <c r="E438" s="5" t="n"/>
      <c r="F438" s="5" t="n"/>
      <c r="K438" s="5" t="n"/>
      <c r="S438" s="5" t="n"/>
      <c r="V438" s="5" t="n"/>
      <c r="Z438" s="5" t="n"/>
    </row>
    <row r="439">
      <c r="D439" s="5" t="n"/>
      <c r="E439" s="5" t="n"/>
      <c r="F439" s="5" t="n"/>
      <c r="K439" s="5" t="n"/>
      <c r="S439" s="5" t="n"/>
      <c r="V439" s="5" t="n"/>
      <c r="Z439" s="5" t="n"/>
    </row>
    <row r="440">
      <c r="D440" s="5" t="n"/>
      <c r="E440" s="5" t="n"/>
      <c r="F440" s="5" t="n"/>
      <c r="K440" s="5" t="n"/>
      <c r="S440" s="5" t="n"/>
      <c r="V440" s="5" t="n"/>
      <c r="Z440" s="5" t="n"/>
    </row>
    <row r="441">
      <c r="D441" s="5" t="n"/>
      <c r="E441" s="5" t="n"/>
      <c r="F441" s="5" t="n"/>
      <c r="K441" s="5" t="n"/>
      <c r="S441" s="5" t="n"/>
      <c r="V441" s="5" t="n"/>
      <c r="Z441" s="5" t="n"/>
    </row>
    <row r="442">
      <c r="D442" s="5" t="n"/>
      <c r="E442" s="5" t="n"/>
      <c r="F442" s="5" t="n"/>
      <c r="K442" s="5" t="n"/>
      <c r="S442" s="5" t="n"/>
      <c r="V442" s="5" t="n"/>
      <c r="Z442" s="5" t="n"/>
    </row>
    <row r="443">
      <c r="D443" s="5" t="n"/>
      <c r="E443" s="5" t="n"/>
      <c r="F443" s="5" t="n"/>
      <c r="K443" s="5" t="n"/>
      <c r="S443" s="5" t="n"/>
      <c r="V443" s="5" t="n"/>
      <c r="Z443" s="5" t="n"/>
    </row>
    <row r="444">
      <c r="D444" s="5" t="n"/>
      <c r="E444" s="5" t="n"/>
      <c r="F444" s="5" t="n"/>
      <c r="K444" s="5" t="n"/>
      <c r="S444" s="5" t="n"/>
      <c r="V444" s="5" t="n"/>
      <c r="Z444" s="5" t="n"/>
    </row>
    <row r="445">
      <c r="D445" s="5" t="n"/>
      <c r="E445" s="5" t="n"/>
      <c r="F445" s="5" t="n"/>
      <c r="K445" s="5" t="n"/>
      <c r="S445" s="5" t="n"/>
      <c r="V445" s="5" t="n"/>
      <c r="Z445" s="5" t="n"/>
    </row>
    <row r="446">
      <c r="D446" s="5" t="n"/>
      <c r="E446" s="5" t="n"/>
      <c r="F446" s="5" t="n"/>
      <c r="K446" s="5" t="n"/>
      <c r="S446" s="5" t="n"/>
      <c r="V446" s="5" t="n"/>
      <c r="Z446" s="5" t="n"/>
    </row>
    <row r="447">
      <c r="D447" s="5" t="n"/>
      <c r="E447" s="5" t="n"/>
      <c r="F447" s="5" t="n"/>
      <c r="K447" s="5" t="n"/>
      <c r="S447" s="5" t="n"/>
      <c r="V447" s="5" t="n"/>
      <c r="Z447" s="5" t="n"/>
    </row>
    <row r="448">
      <c r="D448" s="5" t="n"/>
      <c r="E448" s="5" t="n"/>
      <c r="F448" s="5" t="n"/>
      <c r="K448" s="5" t="n"/>
      <c r="S448" s="5" t="n"/>
      <c r="V448" s="5" t="n"/>
      <c r="Z448" s="5" t="n"/>
    </row>
    <row r="449">
      <c r="D449" s="5" t="n"/>
      <c r="E449" s="5" t="n"/>
      <c r="F449" s="5" t="n"/>
      <c r="K449" s="5" t="n"/>
      <c r="S449" s="5" t="n"/>
      <c r="V449" s="5" t="n"/>
      <c r="Z449" s="5" t="n"/>
    </row>
    <row r="450">
      <c r="D450" s="5" t="n"/>
      <c r="E450" s="5" t="n"/>
      <c r="F450" s="5" t="n"/>
      <c r="K450" s="5" t="n"/>
      <c r="S450" s="5" t="n"/>
      <c r="V450" s="5" t="n"/>
      <c r="Z450" s="5" t="n"/>
    </row>
    <row r="451">
      <c r="D451" s="5" t="n"/>
      <c r="E451" s="5" t="n"/>
      <c r="F451" s="5" t="n"/>
      <c r="K451" s="5" t="n"/>
      <c r="S451" s="5" t="n"/>
      <c r="V451" s="5" t="n"/>
      <c r="Z451" s="5" t="n"/>
    </row>
    <row r="452">
      <c r="D452" s="5" t="n"/>
      <c r="E452" s="5" t="n"/>
      <c r="F452" s="5" t="n"/>
      <c r="K452" s="5" t="n"/>
      <c r="S452" s="5" t="n"/>
      <c r="V452" s="5" t="n"/>
      <c r="Z452" s="5" t="n"/>
    </row>
    <row r="453">
      <c r="D453" s="5" t="n"/>
      <c r="E453" s="5" t="n"/>
      <c r="F453" s="5" t="n"/>
      <c r="K453" s="5" t="n"/>
      <c r="S453" s="5" t="n"/>
      <c r="V453" s="5" t="n"/>
      <c r="Z453" s="5" t="n"/>
    </row>
    <row r="454">
      <c r="D454" s="5" t="n"/>
      <c r="E454" s="5" t="n"/>
      <c r="F454" s="5" t="n"/>
      <c r="K454" s="5" t="n"/>
      <c r="S454" s="5" t="n"/>
      <c r="V454" s="5" t="n"/>
      <c r="Z454" s="5" t="n"/>
    </row>
    <row r="455">
      <c r="D455" s="5" t="n"/>
      <c r="E455" s="5" t="n"/>
      <c r="F455" s="5" t="n"/>
      <c r="K455" s="5" t="n"/>
      <c r="S455" s="5" t="n"/>
      <c r="V455" s="5" t="n"/>
      <c r="Z455" s="5" t="n"/>
    </row>
    <row r="456">
      <c r="D456" s="5" t="n"/>
      <c r="E456" s="5" t="n"/>
      <c r="F456" s="5" t="n"/>
      <c r="K456" s="5" t="n"/>
      <c r="S456" s="5" t="n"/>
      <c r="V456" s="5" t="n"/>
      <c r="Z456" s="5" t="n"/>
    </row>
    <row r="457">
      <c r="D457" s="5" t="n"/>
      <c r="E457" s="5" t="n"/>
      <c r="F457" s="5" t="n"/>
      <c r="K457" s="5" t="n"/>
      <c r="S457" s="5" t="n"/>
      <c r="V457" s="5" t="n"/>
      <c r="Z457" s="5" t="n"/>
    </row>
    <row r="458">
      <c r="D458" s="5" t="n"/>
      <c r="E458" s="5" t="n"/>
      <c r="F458" s="5" t="n"/>
      <c r="K458" s="5" t="n"/>
      <c r="S458" s="5" t="n"/>
      <c r="V458" s="5" t="n"/>
      <c r="Z458" s="5" t="n"/>
    </row>
    <row r="459">
      <c r="D459" s="5" t="n"/>
      <c r="E459" s="5" t="n"/>
      <c r="F459" s="5" t="n"/>
      <c r="K459" s="5" t="n"/>
      <c r="S459" s="5" t="n"/>
      <c r="V459" s="5" t="n"/>
      <c r="Z459" s="5" t="n"/>
    </row>
    <row r="460">
      <c r="D460" s="5" t="n"/>
      <c r="E460" s="5" t="n"/>
      <c r="F460" s="5" t="n"/>
      <c r="K460" s="5" t="n"/>
      <c r="S460" s="5" t="n"/>
      <c r="V460" s="5" t="n"/>
      <c r="Z460" s="5" t="n"/>
    </row>
    <row r="461">
      <c r="D461" s="5" t="n"/>
      <c r="E461" s="5" t="n"/>
      <c r="F461" s="5" t="n"/>
      <c r="K461" s="5" t="n"/>
      <c r="S461" s="5" t="n"/>
      <c r="V461" s="5" t="n"/>
      <c r="Z461" s="5" t="n"/>
    </row>
    <row r="462">
      <c r="D462" s="5" t="n"/>
      <c r="E462" s="5" t="n"/>
      <c r="F462" s="5" t="n"/>
      <c r="K462" s="5" t="n"/>
      <c r="S462" s="5" t="n"/>
      <c r="V462" s="5" t="n"/>
      <c r="Z462" s="5" t="n"/>
    </row>
    <row r="463">
      <c r="D463" s="5" t="n"/>
      <c r="E463" s="5" t="n"/>
      <c r="F463" s="5" t="n"/>
      <c r="K463" s="5" t="n"/>
      <c r="S463" s="5" t="n"/>
      <c r="V463" s="5" t="n"/>
      <c r="Z463" s="5" t="n"/>
    </row>
    <row r="464">
      <c r="D464" s="5" t="n"/>
      <c r="E464" s="5" t="n"/>
      <c r="F464" s="5" t="n"/>
      <c r="K464" s="5" t="n"/>
      <c r="S464" s="5" t="n"/>
      <c r="V464" s="5" t="n"/>
      <c r="Z464" s="5" t="n"/>
    </row>
    <row r="465">
      <c r="D465" s="5" t="n"/>
      <c r="E465" s="5" t="n"/>
      <c r="F465" s="5" t="n"/>
      <c r="K465" s="5" t="n"/>
      <c r="S465" s="5" t="n"/>
      <c r="V465" s="5" t="n"/>
      <c r="Z465" s="5" t="n"/>
    </row>
    <row r="466">
      <c r="D466" s="5" t="n"/>
      <c r="E466" s="5" t="n"/>
      <c r="F466" s="5" t="n"/>
      <c r="K466" s="5" t="n"/>
      <c r="S466" s="5" t="n"/>
      <c r="V466" s="5" t="n"/>
      <c r="Z466" s="5" t="n"/>
    </row>
    <row r="467">
      <c r="D467" s="5" t="n"/>
      <c r="E467" s="5" t="n"/>
      <c r="F467" s="5" t="n"/>
      <c r="K467" s="5" t="n"/>
      <c r="S467" s="5" t="n"/>
      <c r="V467" s="5" t="n"/>
      <c r="Z467" s="5" t="n"/>
    </row>
    <row r="468">
      <c r="D468" s="5" t="n"/>
      <c r="E468" s="5" t="n"/>
      <c r="F468" s="5" t="n"/>
      <c r="K468" s="5" t="n"/>
      <c r="S468" s="5" t="n"/>
      <c r="V468" s="5" t="n"/>
      <c r="Z468" s="5" t="n"/>
    </row>
    <row r="469">
      <c r="D469" s="5" t="n"/>
      <c r="E469" s="5" t="n"/>
      <c r="F469" s="5" t="n"/>
      <c r="K469" s="5" t="n"/>
      <c r="S469" s="5" t="n"/>
      <c r="V469" s="5" t="n"/>
      <c r="Z469" s="5" t="n"/>
    </row>
    <row r="470">
      <c r="D470" s="5" t="n"/>
      <c r="E470" s="5" t="n"/>
      <c r="F470" s="5" t="n"/>
      <c r="K470" s="5" t="n"/>
      <c r="S470" s="5" t="n"/>
      <c r="V470" s="5" t="n"/>
      <c r="Z470" s="5" t="n"/>
    </row>
    <row r="471">
      <c r="D471" s="5" t="n"/>
      <c r="E471" s="5" t="n"/>
      <c r="F471" s="5" t="n"/>
      <c r="K471" s="5" t="n"/>
      <c r="S471" s="5" t="n"/>
      <c r="V471" s="5" t="n"/>
      <c r="Z471" s="5" t="n"/>
    </row>
    <row r="472">
      <c r="D472" s="5" t="n"/>
      <c r="E472" s="5" t="n"/>
      <c r="F472" s="5" t="n"/>
      <c r="K472" s="5" t="n"/>
      <c r="S472" s="5" t="n"/>
      <c r="V472" s="5" t="n"/>
      <c r="Z472" s="5" t="n"/>
    </row>
    <row r="473">
      <c r="D473" s="5" t="n"/>
      <c r="E473" s="5" t="n"/>
      <c r="F473" s="5" t="n"/>
      <c r="K473" s="5" t="n"/>
      <c r="S473" s="5" t="n"/>
      <c r="V473" s="5" t="n"/>
      <c r="Z473" s="5" t="n"/>
    </row>
    <row r="474">
      <c r="D474" s="5" t="n"/>
      <c r="E474" s="5" t="n"/>
      <c r="F474" s="5" t="n"/>
      <c r="K474" s="5" t="n"/>
      <c r="S474" s="5" t="n"/>
      <c r="V474" s="5" t="n"/>
      <c r="Z474" s="5" t="n"/>
    </row>
    <row r="475">
      <c r="D475" s="5" t="n"/>
      <c r="E475" s="5" t="n"/>
      <c r="F475" s="5" t="n"/>
      <c r="K475" s="5" t="n"/>
      <c r="S475" s="5" t="n"/>
      <c r="V475" s="5" t="n"/>
      <c r="Z475" s="5" t="n"/>
    </row>
    <row r="476">
      <c r="D476" s="5" t="n"/>
      <c r="E476" s="5" t="n"/>
      <c r="F476" s="5" t="n"/>
      <c r="K476" s="5" t="n"/>
      <c r="S476" s="5" t="n"/>
      <c r="V476" s="5" t="n"/>
      <c r="Z476" s="5" t="n"/>
    </row>
    <row r="477">
      <c r="D477" s="5" t="n"/>
      <c r="E477" s="5" t="n"/>
      <c r="F477" s="5" t="n"/>
      <c r="K477" s="5" t="n"/>
      <c r="S477" s="5" t="n"/>
      <c r="V477" s="5" t="n"/>
      <c r="Z477" s="5" t="n"/>
    </row>
    <row r="478">
      <c r="D478" s="5" t="n"/>
      <c r="E478" s="5" t="n"/>
      <c r="F478" s="5" t="n"/>
      <c r="K478" s="5" t="n"/>
      <c r="S478" s="5" t="n"/>
      <c r="V478" s="5" t="n"/>
      <c r="Z478" s="5" t="n"/>
    </row>
    <row r="479">
      <c r="D479" s="5" t="n"/>
      <c r="E479" s="5" t="n"/>
      <c r="F479" s="5" t="n"/>
      <c r="K479" s="5" t="n"/>
      <c r="S479" s="5" t="n"/>
      <c r="V479" s="5" t="n"/>
      <c r="Z479" s="5" t="n"/>
    </row>
    <row r="480">
      <c r="D480" s="5" t="n"/>
      <c r="E480" s="5" t="n"/>
      <c r="F480" s="5" t="n"/>
      <c r="K480" s="5" t="n"/>
      <c r="S480" s="5" t="n"/>
      <c r="V480" s="5" t="n"/>
      <c r="Z480" s="5" t="n"/>
    </row>
    <row r="481">
      <c r="D481" s="5" t="n"/>
      <c r="E481" s="5" t="n"/>
      <c r="F481" s="5" t="n"/>
      <c r="K481" s="5" t="n"/>
      <c r="S481" s="5" t="n"/>
      <c r="V481" s="5" t="n"/>
      <c r="Z481" s="5" t="n"/>
    </row>
    <row r="482">
      <c r="D482" s="5" t="n"/>
      <c r="E482" s="5" t="n"/>
      <c r="F482" s="5" t="n"/>
      <c r="K482" s="5" t="n"/>
      <c r="S482" s="5" t="n"/>
      <c r="V482" s="5" t="n"/>
      <c r="Z482" s="5" t="n"/>
    </row>
    <row r="483">
      <c r="D483" s="5" t="n"/>
      <c r="E483" s="5" t="n"/>
      <c r="F483" s="5" t="n"/>
      <c r="K483" s="5" t="n"/>
      <c r="S483" s="5" t="n"/>
      <c r="V483" s="5" t="n"/>
      <c r="Z483" s="5" t="n"/>
    </row>
    <row r="484">
      <c r="D484" s="5" t="n"/>
      <c r="E484" s="5" t="n"/>
      <c r="F484" s="5" t="n"/>
      <c r="K484" s="5" t="n"/>
      <c r="S484" s="5" t="n"/>
      <c r="V484" s="5" t="n"/>
      <c r="Z484" s="5" t="n"/>
    </row>
    <row r="485">
      <c r="D485" s="5" t="n"/>
      <c r="E485" s="5" t="n"/>
      <c r="F485" s="5" t="n"/>
      <c r="K485" s="5" t="n"/>
      <c r="S485" s="5" t="n"/>
      <c r="V485" s="5" t="n"/>
      <c r="Z485" s="5" t="n"/>
    </row>
    <row r="486">
      <c r="D486" s="5" t="n"/>
      <c r="E486" s="5" t="n"/>
      <c r="F486" s="5" t="n"/>
      <c r="K486" s="5" t="n"/>
      <c r="S486" s="5" t="n"/>
      <c r="V486" s="5" t="n"/>
      <c r="Z486" s="5" t="n"/>
    </row>
    <row r="487">
      <c r="D487" s="5" t="n"/>
      <c r="E487" s="5" t="n"/>
      <c r="F487" s="5" t="n"/>
      <c r="K487" s="5" t="n"/>
      <c r="S487" s="5" t="n"/>
      <c r="V487" s="5" t="n"/>
      <c r="Z487" s="5" t="n"/>
    </row>
    <row r="488">
      <c r="D488" s="5" t="n"/>
      <c r="E488" s="5" t="n"/>
      <c r="F488" s="5" t="n"/>
      <c r="K488" s="5" t="n"/>
      <c r="S488" s="5" t="n"/>
      <c r="V488" s="5" t="n"/>
      <c r="Z488" s="5" t="n"/>
    </row>
    <row r="489">
      <c r="D489" s="5" t="n"/>
      <c r="E489" s="5" t="n"/>
      <c r="F489" s="5" t="n"/>
      <c r="K489" s="5" t="n"/>
      <c r="S489" s="5" t="n"/>
      <c r="V489" s="5" t="n"/>
      <c r="Z489" s="5" t="n"/>
    </row>
    <row r="490">
      <c r="D490" s="5" t="n"/>
      <c r="E490" s="5" t="n"/>
      <c r="F490" s="5" t="n"/>
      <c r="K490" s="5" t="n"/>
      <c r="S490" s="5" t="n"/>
      <c r="V490" s="5" t="n"/>
      <c r="Z490" s="5" t="n"/>
    </row>
    <row r="491">
      <c r="D491" s="5" t="n"/>
      <c r="E491" s="5" t="n"/>
      <c r="F491" s="5" t="n"/>
      <c r="K491" s="5" t="n"/>
      <c r="S491" s="5" t="n"/>
      <c r="V491" s="5" t="n"/>
      <c r="Z491" s="5" t="n"/>
    </row>
    <row r="492">
      <c r="D492" s="5" t="n"/>
      <c r="E492" s="5" t="n"/>
      <c r="F492" s="5" t="n"/>
      <c r="K492" s="5" t="n"/>
      <c r="S492" s="5" t="n"/>
      <c r="V492" s="5" t="n"/>
      <c r="Z492" s="5" t="n"/>
    </row>
    <row r="493">
      <c r="D493" s="5" t="n"/>
      <c r="E493" s="5" t="n"/>
      <c r="F493" s="5" t="n"/>
      <c r="K493" s="5" t="n"/>
      <c r="S493" s="5" t="n"/>
      <c r="V493" s="5" t="n"/>
      <c r="Z493" s="5" t="n"/>
    </row>
    <row r="494">
      <c r="D494" s="5" t="n"/>
      <c r="E494" s="5" t="n"/>
      <c r="F494" s="5" t="n"/>
      <c r="K494" s="5" t="n"/>
      <c r="S494" s="5" t="n"/>
      <c r="V494" s="5" t="n"/>
      <c r="Z494" s="5" t="n"/>
    </row>
    <row r="495">
      <c r="D495" s="5" t="n"/>
      <c r="E495" s="5" t="n"/>
      <c r="F495" s="5" t="n"/>
      <c r="K495" s="5" t="n"/>
      <c r="S495" s="5" t="n"/>
      <c r="V495" s="5" t="n"/>
      <c r="Z495" s="5" t="n"/>
    </row>
    <row r="496">
      <c r="D496" s="5" t="n"/>
      <c r="E496" s="5" t="n"/>
      <c r="F496" s="5" t="n"/>
      <c r="K496" s="5" t="n"/>
      <c r="S496" s="5" t="n"/>
      <c r="V496" s="5" t="n"/>
      <c r="Z496" s="5" t="n"/>
    </row>
    <row r="497">
      <c r="D497" s="5" t="n"/>
      <c r="E497" s="5" t="n"/>
      <c r="F497" s="5" t="n"/>
      <c r="K497" s="5" t="n"/>
      <c r="S497" s="5" t="n"/>
      <c r="V497" s="5" t="n"/>
      <c r="Z497" s="5" t="n"/>
    </row>
    <row r="498">
      <c r="D498" s="5" t="n"/>
      <c r="E498" s="5" t="n"/>
      <c r="F498" s="5" t="n"/>
      <c r="K498" s="5" t="n"/>
      <c r="S498" s="5" t="n"/>
      <c r="V498" s="5" t="n"/>
      <c r="Z498" s="5" t="n"/>
    </row>
    <row r="499">
      <c r="D499" s="5" t="n"/>
      <c r="E499" s="5" t="n"/>
      <c r="F499" s="5" t="n"/>
      <c r="K499" s="5" t="n"/>
      <c r="S499" s="5" t="n"/>
      <c r="V499" s="5" t="n"/>
      <c r="Z499" s="5" t="n"/>
    </row>
    <row r="500">
      <c r="D500" s="5" t="n"/>
      <c r="E500" s="5" t="n"/>
      <c r="F500" s="5" t="n"/>
      <c r="K500" s="5" t="n"/>
      <c r="S500" s="5" t="n"/>
      <c r="V500" s="5" t="n"/>
      <c r="Z500" s="5" t="n"/>
    </row>
    <row r="501">
      <c r="D501" s="5" t="n"/>
      <c r="E501" s="5" t="n"/>
      <c r="F501" s="5" t="n"/>
      <c r="K501" s="5" t="n"/>
      <c r="S501" s="5" t="n"/>
      <c r="V501" s="5" t="n"/>
      <c r="Z501" s="5" t="n"/>
    </row>
    <row r="502">
      <c r="D502" s="5" t="n"/>
      <c r="E502" s="5" t="n"/>
      <c r="F502" s="5" t="n"/>
      <c r="K502" s="5" t="n"/>
      <c r="S502" s="5" t="n"/>
      <c r="V502" s="5" t="n"/>
      <c r="Z502" s="5" t="n"/>
    </row>
    <row r="503">
      <c r="D503" s="5" t="n"/>
      <c r="E503" s="5" t="n"/>
      <c r="F503" s="5" t="n"/>
      <c r="K503" s="5" t="n"/>
      <c r="S503" s="5" t="n"/>
      <c r="V503" s="5" t="n"/>
      <c r="Z503" s="5" t="n"/>
    </row>
    <row r="504">
      <c r="D504" s="5" t="n"/>
      <c r="E504" s="5" t="n"/>
      <c r="F504" s="5" t="n"/>
      <c r="K504" s="5" t="n"/>
      <c r="S504" s="5" t="n"/>
      <c r="V504" s="5" t="n"/>
      <c r="Z504" s="5" t="n"/>
    </row>
    <row r="505">
      <c r="D505" s="5" t="n"/>
      <c r="E505" s="5" t="n"/>
      <c r="F505" s="5" t="n"/>
      <c r="K505" s="5" t="n"/>
      <c r="S505" s="5" t="n"/>
      <c r="V505" s="5" t="n"/>
      <c r="Z505" s="5" t="n"/>
    </row>
    <row r="506">
      <c r="D506" s="5" t="n"/>
      <c r="E506" s="5" t="n"/>
      <c r="F506" s="5" t="n"/>
      <c r="K506" s="5" t="n"/>
      <c r="S506" s="5" t="n"/>
      <c r="V506" s="5" t="n"/>
      <c r="Z506" s="5" t="n"/>
    </row>
    <row r="507">
      <c r="D507" s="5" t="n"/>
      <c r="E507" s="5" t="n"/>
      <c r="F507" s="5" t="n"/>
      <c r="K507" s="5" t="n"/>
      <c r="S507" s="5" t="n"/>
      <c r="V507" s="5" t="n"/>
      <c r="Z507" s="5" t="n"/>
    </row>
    <row r="508">
      <c r="D508" s="5" t="n"/>
      <c r="E508" s="5" t="n"/>
      <c r="F508" s="5" t="n"/>
      <c r="K508" s="5" t="n"/>
      <c r="S508" s="5" t="n"/>
      <c r="V508" s="5" t="n"/>
      <c r="Z508" s="5" t="n"/>
    </row>
    <row r="509">
      <c r="D509" s="5" t="n"/>
      <c r="E509" s="5" t="n"/>
      <c r="F509" s="5" t="n"/>
      <c r="K509" s="5" t="n"/>
      <c r="S509" s="5" t="n"/>
      <c r="V509" s="5" t="n"/>
      <c r="Z509" s="5" t="n"/>
    </row>
    <row r="510">
      <c r="D510" s="5" t="n"/>
      <c r="E510" s="5" t="n"/>
      <c r="F510" s="5" t="n"/>
      <c r="K510" s="5" t="n"/>
      <c r="S510" s="5" t="n"/>
      <c r="V510" s="5" t="n"/>
      <c r="Z510" s="5" t="n"/>
    </row>
    <row r="511">
      <c r="D511" s="5" t="n"/>
      <c r="E511" s="5" t="n"/>
      <c r="F511" s="5" t="n"/>
      <c r="K511" s="5" t="n"/>
      <c r="S511" s="5" t="n"/>
      <c r="V511" s="5" t="n"/>
      <c r="Z511" s="5" t="n"/>
    </row>
    <row r="512">
      <c r="D512" s="5" t="n"/>
      <c r="E512" s="5" t="n"/>
      <c r="F512" s="5" t="n"/>
      <c r="K512" s="5" t="n"/>
      <c r="S512" s="5" t="n"/>
      <c r="V512" s="5" t="n"/>
      <c r="Z512" s="5" t="n"/>
    </row>
    <row r="513">
      <c r="D513" s="5" t="n"/>
      <c r="E513" s="5" t="n"/>
      <c r="F513" s="5" t="n"/>
      <c r="K513" s="5" t="n"/>
      <c r="S513" s="5" t="n"/>
      <c r="V513" s="5" t="n"/>
      <c r="Z513" s="5" t="n"/>
    </row>
    <row r="514">
      <c r="D514" s="5" t="n"/>
      <c r="E514" s="5" t="n"/>
      <c r="F514" s="5" t="n"/>
      <c r="K514" s="5" t="n"/>
      <c r="S514" s="5" t="n"/>
      <c r="V514" s="5" t="n"/>
      <c r="Z514" s="5" t="n"/>
    </row>
    <row r="515">
      <c r="D515" s="5" t="n"/>
      <c r="E515" s="5" t="n"/>
      <c r="F515" s="5" t="n"/>
      <c r="K515" s="5" t="n"/>
      <c r="S515" s="5" t="n"/>
      <c r="V515" s="5" t="n"/>
      <c r="Z515" s="5" t="n"/>
    </row>
    <row r="516">
      <c r="D516" s="5" t="n"/>
      <c r="E516" s="5" t="n"/>
      <c r="F516" s="5" t="n"/>
      <c r="K516" s="5" t="n"/>
      <c r="S516" s="5" t="n"/>
      <c r="V516" s="5" t="n"/>
      <c r="Z516" s="5" t="n"/>
    </row>
    <row r="517">
      <c r="D517" s="5" t="n"/>
      <c r="E517" s="5" t="n"/>
      <c r="F517" s="5" t="n"/>
      <c r="K517" s="5" t="n"/>
      <c r="S517" s="5" t="n"/>
      <c r="V517" s="5" t="n"/>
      <c r="Z517" s="5" t="n"/>
    </row>
    <row r="518">
      <c r="D518" s="5" t="n"/>
      <c r="E518" s="5" t="n"/>
      <c r="F518" s="5" t="n"/>
      <c r="K518" s="5" t="n"/>
      <c r="S518" s="5" t="n"/>
      <c r="V518" s="5" t="n"/>
      <c r="Z518" s="5" t="n"/>
    </row>
    <row r="519">
      <c r="D519" s="5" t="n"/>
      <c r="E519" s="5" t="n"/>
      <c r="F519" s="5" t="n"/>
      <c r="K519" s="5" t="n"/>
      <c r="S519" s="5" t="n"/>
      <c r="V519" s="5" t="n"/>
      <c r="Z519" s="5" t="n"/>
    </row>
    <row r="520">
      <c r="D520" s="5" t="n"/>
      <c r="E520" s="5" t="n"/>
      <c r="F520" s="5" t="n"/>
      <c r="K520" s="5" t="n"/>
      <c r="S520" s="5" t="n"/>
      <c r="V520" s="5" t="n"/>
      <c r="Z520" s="5" t="n"/>
    </row>
    <row r="521">
      <c r="D521" s="5" t="n"/>
      <c r="E521" s="5" t="n"/>
      <c r="F521" s="5" t="n"/>
      <c r="K521" s="5" t="n"/>
      <c r="S521" s="5" t="n"/>
      <c r="V521" s="5" t="n"/>
      <c r="Z521" s="5" t="n"/>
    </row>
    <row r="522">
      <c r="D522" s="5" t="n"/>
      <c r="E522" s="5" t="n"/>
      <c r="F522" s="5" t="n"/>
      <c r="K522" s="5" t="n"/>
      <c r="S522" s="5" t="n"/>
      <c r="V522" s="5" t="n"/>
      <c r="Z522" s="5" t="n"/>
    </row>
    <row r="523">
      <c r="D523" s="5" t="n"/>
      <c r="E523" s="5" t="n"/>
      <c r="F523" s="5" t="n"/>
      <c r="K523" s="5" t="n"/>
      <c r="S523" s="5" t="n"/>
      <c r="V523" s="5" t="n"/>
      <c r="Z523" s="5" t="n"/>
    </row>
    <row r="524">
      <c r="D524" s="5" t="n"/>
      <c r="E524" s="5" t="n"/>
      <c r="F524" s="5" t="n"/>
      <c r="K524" s="5" t="n"/>
      <c r="S524" s="5" t="n"/>
      <c r="V524" s="5" t="n"/>
      <c r="Z524" s="5" t="n"/>
    </row>
    <row r="525">
      <c r="D525" s="5" t="n"/>
      <c r="E525" s="5" t="n"/>
      <c r="F525" s="5" t="n"/>
      <c r="K525" s="5" t="n"/>
      <c r="S525" s="5" t="n"/>
      <c r="V525" s="5" t="n"/>
      <c r="Z525" s="5" t="n"/>
    </row>
    <row r="526">
      <c r="D526" s="5" t="n"/>
      <c r="E526" s="5" t="n"/>
      <c r="F526" s="5" t="n"/>
      <c r="K526" s="5" t="n"/>
      <c r="S526" s="5" t="n"/>
      <c r="V526" s="5" t="n"/>
      <c r="Z526" s="5" t="n"/>
    </row>
    <row r="527">
      <c r="D527" s="5" t="n"/>
      <c r="E527" s="5" t="n"/>
      <c r="F527" s="5" t="n"/>
      <c r="K527" s="5" t="n"/>
      <c r="S527" s="5" t="n"/>
      <c r="V527" s="5" t="n"/>
      <c r="Z527" s="5" t="n"/>
    </row>
    <row r="528">
      <c r="D528" s="5" t="n"/>
      <c r="E528" s="5" t="n"/>
      <c r="F528" s="5" t="n"/>
      <c r="K528" s="5" t="n"/>
      <c r="S528" s="5" t="n"/>
      <c r="V528" s="5" t="n"/>
      <c r="Z528" s="5" t="n"/>
    </row>
    <row r="529">
      <c r="D529" s="5" t="n"/>
      <c r="E529" s="5" t="n"/>
      <c r="F529" s="5" t="n"/>
      <c r="K529" s="5" t="n"/>
      <c r="S529" s="5" t="n"/>
      <c r="V529" s="5" t="n"/>
      <c r="Z529" s="5" t="n"/>
    </row>
    <row r="530">
      <c r="D530" s="5" t="n"/>
      <c r="E530" s="5" t="n"/>
      <c r="F530" s="5" t="n"/>
      <c r="K530" s="5" t="n"/>
      <c r="S530" s="5" t="n"/>
      <c r="V530" s="5" t="n"/>
      <c r="Z530" s="5" t="n"/>
    </row>
    <row r="531">
      <c r="D531" s="5" t="n"/>
      <c r="E531" s="5" t="n"/>
      <c r="F531" s="5" t="n"/>
      <c r="K531" s="5" t="n"/>
      <c r="S531" s="5" t="n"/>
      <c r="V531" s="5" t="n"/>
      <c r="Z531" s="5" t="n"/>
    </row>
    <row r="532">
      <c r="D532" s="5" t="n"/>
      <c r="E532" s="5" t="n"/>
      <c r="F532" s="5" t="n"/>
      <c r="K532" s="5" t="n"/>
      <c r="S532" s="5" t="n"/>
      <c r="V532" s="5" t="n"/>
      <c r="Z532" s="5" t="n"/>
    </row>
    <row r="533">
      <c r="D533" s="5" t="n"/>
      <c r="E533" s="5" t="n"/>
      <c r="F533" s="5" t="n"/>
      <c r="K533" s="5" t="n"/>
      <c r="S533" s="5" t="n"/>
      <c r="V533" s="5" t="n"/>
      <c r="Z533" s="5" t="n"/>
    </row>
    <row r="534">
      <c r="D534" s="5" t="n"/>
      <c r="E534" s="5" t="n"/>
      <c r="F534" s="5" t="n"/>
      <c r="K534" s="5" t="n"/>
      <c r="S534" s="5" t="n"/>
      <c r="V534" s="5" t="n"/>
      <c r="Z534" s="5" t="n"/>
    </row>
    <row r="535">
      <c r="D535" s="5" t="n"/>
      <c r="E535" s="5" t="n"/>
      <c r="F535" s="5" t="n"/>
      <c r="K535" s="5" t="n"/>
      <c r="S535" s="5" t="n"/>
      <c r="V535" s="5" t="n"/>
      <c r="Z535" s="5" t="n"/>
    </row>
    <row r="536">
      <c r="D536" s="5" t="n"/>
      <c r="E536" s="5" t="n"/>
      <c r="F536" s="5" t="n"/>
      <c r="K536" s="5" t="n"/>
      <c r="S536" s="5" t="n"/>
      <c r="V536" s="5" t="n"/>
      <c r="Z536" s="5" t="n"/>
    </row>
    <row r="537">
      <c r="D537" s="5" t="n"/>
      <c r="E537" s="5" t="n"/>
      <c r="F537" s="5" t="n"/>
      <c r="K537" s="5" t="n"/>
      <c r="S537" s="5" t="n"/>
      <c r="V537" s="5" t="n"/>
      <c r="Z537" s="5" t="n"/>
    </row>
    <row r="538">
      <c r="D538" s="5" t="n"/>
      <c r="E538" s="5" t="n"/>
      <c r="F538" s="5" t="n"/>
      <c r="K538" s="5" t="n"/>
      <c r="S538" s="5" t="n"/>
      <c r="V538" s="5" t="n"/>
      <c r="Z538" s="5" t="n"/>
    </row>
    <row r="539">
      <c r="D539" s="5" t="n"/>
      <c r="E539" s="5" t="n"/>
      <c r="F539" s="5" t="n"/>
      <c r="K539" s="5" t="n"/>
      <c r="S539" s="5" t="n"/>
      <c r="V539" s="5" t="n"/>
      <c r="Z539" s="5" t="n"/>
    </row>
    <row r="540">
      <c r="D540" s="5" t="n"/>
      <c r="E540" s="5" t="n"/>
      <c r="F540" s="5" t="n"/>
      <c r="K540" s="5" t="n"/>
      <c r="S540" s="5" t="n"/>
      <c r="V540" s="5" t="n"/>
      <c r="Z540" s="5" t="n"/>
    </row>
    <row r="541">
      <c r="D541" s="5" t="n"/>
      <c r="E541" s="5" t="n"/>
      <c r="F541" s="5" t="n"/>
      <c r="K541" s="5" t="n"/>
      <c r="S541" s="5" t="n"/>
      <c r="V541" s="5" t="n"/>
      <c r="Z541" s="5" t="n"/>
    </row>
    <row r="542">
      <c r="D542" s="5" t="n"/>
      <c r="E542" s="5" t="n"/>
      <c r="F542" s="5" t="n"/>
      <c r="K542" s="5" t="n"/>
      <c r="S542" s="5" t="n"/>
      <c r="V542" s="5" t="n"/>
      <c r="Z542" s="5" t="n"/>
    </row>
    <row r="543">
      <c r="D543" s="5" t="n"/>
      <c r="E543" s="5" t="n"/>
      <c r="F543" s="5" t="n"/>
      <c r="K543" s="5" t="n"/>
      <c r="S543" s="5" t="n"/>
      <c r="V543" s="5" t="n"/>
      <c r="Z543" s="5" t="n"/>
    </row>
    <row r="544">
      <c r="D544" s="5" t="n"/>
      <c r="E544" s="5" t="n"/>
      <c r="F544" s="5" t="n"/>
      <c r="K544" s="5" t="n"/>
      <c r="S544" s="5" t="n"/>
      <c r="V544" s="5" t="n"/>
      <c r="Z544" s="5" t="n"/>
    </row>
    <row r="545">
      <c r="D545" s="5" t="n"/>
      <c r="E545" s="5" t="n"/>
      <c r="F545" s="5" t="n"/>
      <c r="K545" s="5" t="n"/>
      <c r="S545" s="5" t="n"/>
      <c r="V545" s="5" t="n"/>
      <c r="Z545" s="5" t="n"/>
    </row>
    <row r="546">
      <c r="D546" s="5" t="n"/>
      <c r="E546" s="5" t="n"/>
      <c r="F546" s="5" t="n"/>
      <c r="K546" s="5" t="n"/>
      <c r="S546" s="5" t="n"/>
      <c r="V546" s="5" t="n"/>
      <c r="Z546" s="5" t="n"/>
    </row>
    <row r="547">
      <c r="D547" s="5" t="n"/>
      <c r="E547" s="5" t="n"/>
      <c r="F547" s="5" t="n"/>
      <c r="K547" s="5" t="n"/>
      <c r="S547" s="5" t="n"/>
      <c r="V547" s="5" t="n"/>
      <c r="Z547" s="5" t="n"/>
    </row>
    <row r="548">
      <c r="D548" s="5" t="n"/>
      <c r="E548" s="5" t="n"/>
      <c r="F548" s="5" t="n"/>
      <c r="K548" s="5" t="n"/>
      <c r="S548" s="5" t="n"/>
      <c r="V548" s="5" t="n"/>
      <c r="Z548" s="5" t="n"/>
    </row>
    <row r="549">
      <c r="D549" s="5" t="n"/>
      <c r="E549" s="5" t="n"/>
      <c r="F549" s="5" t="n"/>
      <c r="K549" s="5" t="n"/>
      <c r="S549" s="5" t="n"/>
      <c r="V549" s="5" t="n"/>
      <c r="Z549" s="5" t="n"/>
    </row>
    <row r="550">
      <c r="D550" s="5" t="n"/>
      <c r="E550" s="5" t="n"/>
      <c r="F550" s="5" t="n"/>
      <c r="K550" s="5" t="n"/>
      <c r="S550" s="5" t="n"/>
      <c r="V550" s="5" t="n"/>
      <c r="Z550" s="5" t="n"/>
    </row>
    <row r="551">
      <c r="D551" s="5" t="n"/>
      <c r="E551" s="5" t="n"/>
      <c r="F551" s="5" t="n"/>
      <c r="K551" s="5" t="n"/>
      <c r="S551" s="5" t="n"/>
      <c r="V551" s="5" t="n"/>
      <c r="Z551" s="5" t="n"/>
    </row>
    <row r="552">
      <c r="D552" s="5" t="n"/>
      <c r="E552" s="5" t="n"/>
      <c r="F552" s="5" t="n"/>
      <c r="K552" s="5" t="n"/>
      <c r="S552" s="5" t="n"/>
      <c r="V552" s="5" t="n"/>
      <c r="Z552" s="5" t="n"/>
    </row>
    <row r="553">
      <c r="D553" s="5" t="n"/>
      <c r="E553" s="5" t="n"/>
      <c r="F553" s="5" t="n"/>
      <c r="K553" s="5" t="n"/>
      <c r="S553" s="5" t="n"/>
      <c r="V553" s="5" t="n"/>
      <c r="Z553" s="5" t="n"/>
    </row>
    <row r="554">
      <c r="D554" s="5" t="n"/>
      <c r="E554" s="5" t="n"/>
      <c r="F554" s="5" t="n"/>
      <c r="K554" s="5" t="n"/>
      <c r="S554" s="5" t="n"/>
      <c r="V554" s="5" t="n"/>
      <c r="Z554" s="5" t="n"/>
    </row>
    <row r="555">
      <c r="D555" s="5" t="n"/>
      <c r="E555" s="5" t="n"/>
      <c r="F555" s="5" t="n"/>
      <c r="K555" s="5" t="n"/>
      <c r="S555" s="5" t="n"/>
      <c r="V555" s="5" t="n"/>
      <c r="Z555" s="5" t="n"/>
    </row>
    <row r="556">
      <c r="D556" s="5" t="n"/>
      <c r="E556" s="5" t="n"/>
      <c r="F556" s="5" t="n"/>
      <c r="K556" s="5" t="n"/>
      <c r="S556" s="5" t="n"/>
      <c r="V556" s="5" t="n"/>
      <c r="Z556" s="5" t="n"/>
    </row>
    <row r="557">
      <c r="D557" s="5" t="n"/>
      <c r="E557" s="5" t="n"/>
      <c r="F557" s="5" t="n"/>
      <c r="K557" s="5" t="n"/>
      <c r="S557" s="5" t="n"/>
      <c r="V557" s="5" t="n"/>
      <c r="Z557" s="5" t="n"/>
    </row>
    <row r="558">
      <c r="D558" s="5" t="n"/>
      <c r="E558" s="5" t="n"/>
      <c r="F558" s="5" t="n"/>
      <c r="K558" s="5" t="n"/>
      <c r="S558" s="5" t="n"/>
      <c r="V558" s="5" t="n"/>
      <c r="Z558" s="5" t="n"/>
    </row>
    <row r="559">
      <c r="D559" s="5" t="n"/>
      <c r="E559" s="5" t="n"/>
      <c r="F559" s="5" t="n"/>
      <c r="K559" s="5" t="n"/>
      <c r="S559" s="5" t="n"/>
      <c r="V559" s="5" t="n"/>
      <c r="Z559" s="5" t="n"/>
    </row>
    <row r="560">
      <c r="D560" s="5" t="n"/>
      <c r="E560" s="5" t="n"/>
      <c r="F560" s="5" t="n"/>
      <c r="K560" s="5" t="n"/>
      <c r="S560" s="5" t="n"/>
      <c r="V560" s="5" t="n"/>
      <c r="Z560" s="5" t="n"/>
    </row>
    <row r="561">
      <c r="D561" s="5" t="n"/>
      <c r="E561" s="5" t="n"/>
      <c r="F561" s="5" t="n"/>
      <c r="K561" s="5" t="n"/>
      <c r="S561" s="5" t="n"/>
      <c r="V561" s="5" t="n"/>
      <c r="Z561" s="5" t="n"/>
    </row>
    <row r="562">
      <c r="D562" s="5" t="n"/>
      <c r="E562" s="5" t="n"/>
      <c r="F562" s="5" t="n"/>
      <c r="K562" s="5" t="n"/>
      <c r="S562" s="5" t="n"/>
      <c r="V562" s="5" t="n"/>
      <c r="Z562" s="5" t="n"/>
    </row>
    <row r="563">
      <c r="D563" s="5" t="n"/>
      <c r="E563" s="5" t="n"/>
      <c r="F563" s="5" t="n"/>
      <c r="K563" s="5" t="n"/>
      <c r="S563" s="5" t="n"/>
      <c r="V563" s="5" t="n"/>
      <c r="Z563" s="5" t="n"/>
    </row>
    <row r="564">
      <c r="D564" s="5" t="n"/>
      <c r="E564" s="5" t="n"/>
      <c r="F564" s="5" t="n"/>
      <c r="K564" s="5" t="n"/>
      <c r="S564" s="5" t="n"/>
      <c r="V564" s="5" t="n"/>
      <c r="Z564" s="5" t="n"/>
    </row>
    <row r="565">
      <c r="D565" s="5" t="n"/>
      <c r="E565" s="5" t="n"/>
      <c r="F565" s="5" t="n"/>
      <c r="K565" s="5" t="n"/>
      <c r="S565" s="5" t="n"/>
      <c r="V565" s="5" t="n"/>
      <c r="Z565" s="5" t="n"/>
    </row>
    <row r="566">
      <c r="D566" s="5" t="n"/>
      <c r="E566" s="5" t="n"/>
      <c r="F566" s="5" t="n"/>
      <c r="K566" s="5" t="n"/>
      <c r="S566" s="5" t="n"/>
      <c r="V566" s="5" t="n"/>
      <c r="Z566" s="5" t="n"/>
    </row>
    <row r="567">
      <c r="D567" s="5" t="n"/>
      <c r="E567" s="5" t="n"/>
      <c r="F567" s="5" t="n"/>
      <c r="K567" s="5" t="n"/>
      <c r="S567" s="5" t="n"/>
      <c r="V567" s="5" t="n"/>
      <c r="Z567" s="5" t="n"/>
    </row>
    <row r="568">
      <c r="D568" s="5" t="n"/>
      <c r="E568" s="5" t="n"/>
      <c r="F568" s="5" t="n"/>
      <c r="K568" s="5" t="n"/>
      <c r="S568" s="5" t="n"/>
      <c r="V568" s="5" t="n"/>
      <c r="Z568" s="5" t="n"/>
    </row>
    <row r="569">
      <c r="D569" s="5" t="n"/>
      <c r="E569" s="5" t="n"/>
      <c r="F569" s="5" t="n"/>
      <c r="K569" s="5" t="n"/>
      <c r="S569" s="5" t="n"/>
      <c r="V569" s="5" t="n"/>
      <c r="Z569" s="5" t="n"/>
    </row>
    <row r="570">
      <c r="D570" s="5" t="n"/>
      <c r="E570" s="5" t="n"/>
      <c r="F570" s="5" t="n"/>
      <c r="K570" s="5" t="n"/>
      <c r="S570" s="5" t="n"/>
      <c r="V570" s="5" t="n"/>
      <c r="Z570" s="5" t="n"/>
    </row>
    <row r="571">
      <c r="D571" s="5" t="n"/>
      <c r="E571" s="5" t="n"/>
      <c r="F571" s="5" t="n"/>
      <c r="K571" s="5" t="n"/>
      <c r="S571" s="5" t="n"/>
      <c r="V571" s="5" t="n"/>
      <c r="Z571" s="5" t="n"/>
    </row>
    <row r="572">
      <c r="D572" s="5" t="n"/>
      <c r="E572" s="5" t="n"/>
      <c r="F572" s="5" t="n"/>
      <c r="K572" s="5" t="n"/>
      <c r="S572" s="5" t="n"/>
      <c r="V572" s="5" t="n"/>
      <c r="Z572" s="5" t="n"/>
    </row>
    <row r="573">
      <c r="D573" s="5" t="n"/>
      <c r="E573" s="5" t="n"/>
      <c r="F573" s="5" t="n"/>
      <c r="K573" s="5" t="n"/>
      <c r="S573" s="5" t="n"/>
      <c r="V573" s="5" t="n"/>
      <c r="Z573" s="5" t="n"/>
    </row>
    <row r="574">
      <c r="D574" s="5" t="n"/>
      <c r="E574" s="5" t="n"/>
      <c r="F574" s="5" t="n"/>
      <c r="K574" s="5" t="n"/>
      <c r="S574" s="5" t="n"/>
      <c r="V574" s="5" t="n"/>
      <c r="Z574" s="5" t="n"/>
    </row>
    <row r="575">
      <c r="D575" s="5" t="n"/>
      <c r="E575" s="5" t="n"/>
      <c r="F575" s="5" t="n"/>
      <c r="K575" s="5" t="n"/>
      <c r="S575" s="5" t="n"/>
      <c r="V575" s="5" t="n"/>
      <c r="Z575" s="5" t="n"/>
    </row>
    <row r="576">
      <c r="D576" s="5" t="n"/>
      <c r="E576" s="5" t="n"/>
      <c r="F576" s="5" t="n"/>
      <c r="K576" s="5" t="n"/>
      <c r="S576" s="5" t="n"/>
      <c r="V576" s="5" t="n"/>
      <c r="Z576" s="5" t="n"/>
    </row>
    <row r="577">
      <c r="D577" s="5" t="n"/>
      <c r="E577" s="5" t="n"/>
      <c r="F577" s="5" t="n"/>
      <c r="K577" s="5" t="n"/>
      <c r="S577" s="5" t="n"/>
      <c r="V577" s="5" t="n"/>
      <c r="Z577" s="5" t="n"/>
    </row>
    <row r="578">
      <c r="D578" s="5" t="n"/>
      <c r="E578" s="5" t="n"/>
      <c r="F578" s="5" t="n"/>
      <c r="K578" s="5" t="n"/>
      <c r="S578" s="5" t="n"/>
      <c r="V578" s="5" t="n"/>
      <c r="Z578" s="5" t="n"/>
    </row>
    <row r="579">
      <c r="D579" s="5" t="n"/>
      <c r="E579" s="5" t="n"/>
      <c r="F579" s="5" t="n"/>
      <c r="K579" s="5" t="n"/>
      <c r="S579" s="5" t="n"/>
      <c r="V579" s="5" t="n"/>
      <c r="Z579" s="5" t="n"/>
    </row>
    <row r="580">
      <c r="D580" s="5" t="n"/>
      <c r="E580" s="5" t="n"/>
      <c r="F580" s="5" t="n"/>
      <c r="K580" s="5" t="n"/>
      <c r="S580" s="5" t="n"/>
      <c r="V580" s="5" t="n"/>
      <c r="Z580" s="5" t="n"/>
    </row>
    <row r="581">
      <c r="D581" s="5" t="n"/>
      <c r="E581" s="5" t="n"/>
      <c r="F581" s="5" t="n"/>
      <c r="K581" s="5" t="n"/>
      <c r="S581" s="5" t="n"/>
      <c r="V581" s="5" t="n"/>
      <c r="Z581" s="5" t="n"/>
    </row>
    <row r="582">
      <c r="D582" s="5" t="n"/>
      <c r="E582" s="5" t="n"/>
      <c r="F582" s="5" t="n"/>
      <c r="K582" s="5" t="n"/>
      <c r="S582" s="5" t="n"/>
      <c r="V582" s="5" t="n"/>
      <c r="Z582" s="5" t="n"/>
    </row>
    <row r="583">
      <c r="D583" s="5" t="n"/>
      <c r="E583" s="5" t="n"/>
      <c r="F583" s="5" t="n"/>
      <c r="K583" s="5" t="n"/>
      <c r="S583" s="5" t="n"/>
      <c r="V583" s="5" t="n"/>
      <c r="Z583" s="5" t="n"/>
    </row>
    <row r="584">
      <c r="D584" s="5" t="n"/>
      <c r="E584" s="5" t="n"/>
      <c r="F584" s="5" t="n"/>
      <c r="K584" s="5" t="n"/>
      <c r="S584" s="5" t="n"/>
      <c r="V584" s="5" t="n"/>
      <c r="Z584" s="5" t="n"/>
    </row>
    <row r="585">
      <c r="D585" s="5" t="n"/>
      <c r="E585" s="5" t="n"/>
      <c r="F585" s="5" t="n"/>
      <c r="K585" s="5" t="n"/>
      <c r="S585" s="5" t="n"/>
      <c r="V585" s="5" t="n"/>
      <c r="Z585" s="5" t="n"/>
    </row>
    <row r="586">
      <c r="D586" s="5" t="n"/>
      <c r="E586" s="5" t="n"/>
      <c r="F586" s="5" t="n"/>
      <c r="K586" s="5" t="n"/>
      <c r="S586" s="5" t="n"/>
      <c r="V586" s="5" t="n"/>
      <c r="Z586" s="5" t="n"/>
    </row>
    <row r="587">
      <c r="D587" s="5" t="n"/>
      <c r="E587" s="5" t="n"/>
      <c r="F587" s="5" t="n"/>
      <c r="K587" s="5" t="n"/>
      <c r="S587" s="5" t="n"/>
      <c r="V587" s="5" t="n"/>
      <c r="Z587" s="5" t="n"/>
    </row>
    <row r="588">
      <c r="D588" s="5" t="n"/>
      <c r="E588" s="5" t="n"/>
      <c r="F588" s="5" t="n"/>
      <c r="K588" s="5" t="n"/>
      <c r="S588" s="5" t="n"/>
      <c r="V588" s="5" t="n"/>
      <c r="Z588" s="5" t="n"/>
    </row>
    <row r="589">
      <c r="D589" s="5" t="n"/>
      <c r="E589" s="5" t="n"/>
      <c r="F589" s="5" t="n"/>
      <c r="K589" s="5" t="n"/>
      <c r="S589" s="5" t="n"/>
      <c r="V589" s="5" t="n"/>
      <c r="Z589" s="5" t="n"/>
    </row>
    <row r="590">
      <c r="D590" s="5" t="n"/>
      <c r="E590" s="5" t="n"/>
      <c r="F590" s="5" t="n"/>
      <c r="K590" s="5" t="n"/>
      <c r="S590" s="5" t="n"/>
      <c r="V590" s="5" t="n"/>
      <c r="Z590" s="5" t="n"/>
    </row>
    <row r="591">
      <c r="D591" s="5" t="n"/>
      <c r="E591" s="5" t="n"/>
      <c r="F591" s="5" t="n"/>
      <c r="K591" s="5" t="n"/>
      <c r="S591" s="5" t="n"/>
      <c r="V591" s="5" t="n"/>
      <c r="Z591" s="5" t="n"/>
    </row>
    <row r="592">
      <c r="D592" s="5" t="n"/>
      <c r="E592" s="5" t="n"/>
      <c r="F592" s="5" t="n"/>
      <c r="K592" s="5" t="n"/>
      <c r="S592" s="5" t="n"/>
      <c r="V592" s="5" t="n"/>
      <c r="Z592" s="5" t="n"/>
    </row>
    <row r="593">
      <c r="D593" s="5" t="n"/>
      <c r="E593" s="5" t="n"/>
      <c r="F593" s="5" t="n"/>
      <c r="K593" s="5" t="n"/>
      <c r="S593" s="5" t="n"/>
      <c r="V593" s="5" t="n"/>
      <c r="Z593" s="5" t="n"/>
    </row>
    <row r="594">
      <c r="D594" s="5" t="n"/>
      <c r="E594" s="5" t="n"/>
      <c r="F594" s="5" t="n"/>
      <c r="K594" s="5" t="n"/>
      <c r="S594" s="5" t="n"/>
      <c r="V594" s="5" t="n"/>
      <c r="Z594" s="5" t="n"/>
    </row>
    <row r="595">
      <c r="D595" s="5" t="n"/>
      <c r="E595" s="5" t="n"/>
      <c r="F595" s="5" t="n"/>
      <c r="K595" s="5" t="n"/>
      <c r="S595" s="5" t="n"/>
      <c r="V595" s="5" t="n"/>
      <c r="Z595" s="5" t="n"/>
    </row>
    <row r="596">
      <c r="D596" s="5" t="n"/>
      <c r="E596" s="5" t="n"/>
      <c r="F596" s="5" t="n"/>
      <c r="K596" s="5" t="n"/>
      <c r="S596" s="5" t="n"/>
      <c r="V596" s="5" t="n"/>
      <c r="Z596" s="5" t="n"/>
    </row>
    <row r="597">
      <c r="D597" s="5" t="n"/>
      <c r="E597" s="5" t="n"/>
      <c r="F597" s="5" t="n"/>
      <c r="K597" s="5" t="n"/>
      <c r="S597" s="5" t="n"/>
      <c r="V597" s="5" t="n"/>
      <c r="Z597" s="5" t="n"/>
    </row>
    <row r="598">
      <c r="D598" s="5" t="n"/>
      <c r="E598" s="5" t="n"/>
      <c r="F598" s="5" t="n"/>
      <c r="K598" s="5" t="n"/>
      <c r="S598" s="5" t="n"/>
      <c r="V598" s="5" t="n"/>
      <c r="Z598" s="5" t="n"/>
    </row>
    <row r="599">
      <c r="D599" s="5" t="n"/>
      <c r="E599" s="5" t="n"/>
      <c r="F599" s="5" t="n"/>
      <c r="K599" s="5" t="n"/>
      <c r="S599" s="5" t="n"/>
      <c r="V599" s="5" t="n"/>
      <c r="Z599" s="5" t="n"/>
    </row>
    <row r="600">
      <c r="D600" s="5" t="n"/>
      <c r="E600" s="5" t="n"/>
      <c r="F600" s="5" t="n"/>
      <c r="K600" s="5" t="n"/>
      <c r="S600" s="5" t="n"/>
      <c r="V600" s="5" t="n"/>
      <c r="Z600" s="5" t="n"/>
    </row>
    <row r="601">
      <c r="D601" s="5" t="n"/>
      <c r="E601" s="5" t="n"/>
      <c r="F601" s="5" t="n"/>
      <c r="K601" s="5" t="n"/>
      <c r="S601" s="5" t="n"/>
      <c r="V601" s="5" t="n"/>
      <c r="Z601" s="5" t="n"/>
    </row>
    <row r="602">
      <c r="D602" s="5" t="n"/>
      <c r="E602" s="5" t="n"/>
      <c r="F602" s="5" t="n"/>
      <c r="K602" s="5" t="n"/>
      <c r="S602" s="5" t="n"/>
      <c r="V602" s="5" t="n"/>
      <c r="Z602" s="5" t="n"/>
    </row>
    <row r="603">
      <c r="D603" s="5" t="n"/>
      <c r="E603" s="5" t="n"/>
      <c r="F603" s="5" t="n"/>
      <c r="K603" s="5" t="n"/>
      <c r="S603" s="5" t="n"/>
      <c r="V603" s="5" t="n"/>
      <c r="Z603" s="5" t="n"/>
    </row>
    <row r="604">
      <c r="D604" s="5" t="n"/>
      <c r="E604" s="5" t="n"/>
      <c r="F604" s="5" t="n"/>
      <c r="K604" s="5" t="n"/>
      <c r="S604" s="5" t="n"/>
      <c r="V604" s="5" t="n"/>
      <c r="Z604" s="5" t="n"/>
    </row>
    <row r="605">
      <c r="D605" s="5" t="n"/>
      <c r="E605" s="5" t="n"/>
      <c r="F605" s="5" t="n"/>
      <c r="K605" s="5" t="n"/>
      <c r="S605" s="5" t="n"/>
      <c r="V605" s="5" t="n"/>
      <c r="Z605" s="5" t="n"/>
    </row>
    <row r="606">
      <c r="D606" s="5" t="n"/>
      <c r="E606" s="5" t="n"/>
      <c r="F606" s="5" t="n"/>
      <c r="K606" s="5" t="n"/>
      <c r="S606" s="5" t="n"/>
      <c r="V606" s="5" t="n"/>
      <c r="Z606" s="5" t="n"/>
    </row>
    <row r="607">
      <c r="D607" s="5" t="n"/>
      <c r="E607" s="5" t="n"/>
      <c r="F607" s="5" t="n"/>
      <c r="K607" s="5" t="n"/>
      <c r="S607" s="5" t="n"/>
      <c r="V607" s="5" t="n"/>
      <c r="Z607" s="5" t="n"/>
    </row>
    <row r="608">
      <c r="D608" s="5" t="n"/>
      <c r="E608" s="5" t="n"/>
      <c r="F608" s="5" t="n"/>
      <c r="K608" s="5" t="n"/>
      <c r="S608" s="5" t="n"/>
      <c r="V608" s="5" t="n"/>
      <c r="Z608" s="5" t="n"/>
    </row>
    <row r="609">
      <c r="D609" s="5" t="n"/>
      <c r="E609" s="5" t="n"/>
      <c r="F609" s="5" t="n"/>
      <c r="K609" s="5" t="n"/>
      <c r="S609" s="5" t="n"/>
      <c r="V609" s="5" t="n"/>
      <c r="Z609" s="5" t="n"/>
    </row>
    <row r="610">
      <c r="D610" s="5" t="n"/>
      <c r="E610" s="5" t="n"/>
      <c r="F610" s="5" t="n"/>
      <c r="K610" s="5" t="n"/>
      <c r="S610" s="5" t="n"/>
      <c r="V610" s="5" t="n"/>
      <c r="Z610" s="5" t="n"/>
    </row>
    <row r="611">
      <c r="D611" s="5" t="n"/>
      <c r="E611" s="5" t="n"/>
      <c r="F611" s="5" t="n"/>
      <c r="K611" s="5" t="n"/>
      <c r="S611" s="5" t="n"/>
      <c r="V611" s="5" t="n"/>
      <c r="Z611" s="5" t="n"/>
    </row>
    <row r="612">
      <c r="D612" s="5" t="n"/>
      <c r="E612" s="5" t="n"/>
      <c r="F612" s="5" t="n"/>
      <c r="K612" s="5" t="n"/>
      <c r="S612" s="5" t="n"/>
      <c r="V612" s="5" t="n"/>
      <c r="Z612" s="5" t="n"/>
    </row>
    <row r="613">
      <c r="D613" s="5" t="n"/>
      <c r="E613" s="5" t="n"/>
      <c r="F613" s="5" t="n"/>
      <c r="K613" s="5" t="n"/>
      <c r="S613" s="5" t="n"/>
      <c r="V613" s="5" t="n"/>
      <c r="Z613" s="5" t="n"/>
    </row>
    <row r="614">
      <c r="D614" s="5" t="n"/>
      <c r="E614" s="5" t="n"/>
      <c r="F614" s="5" t="n"/>
      <c r="K614" s="5" t="n"/>
      <c r="S614" s="5" t="n"/>
      <c r="V614" s="5" t="n"/>
      <c r="Z614" s="5" t="n"/>
    </row>
    <row r="615">
      <c r="D615" s="5" t="n"/>
      <c r="E615" s="5" t="n"/>
      <c r="F615" s="5" t="n"/>
      <c r="K615" s="5" t="n"/>
      <c r="S615" s="5" t="n"/>
      <c r="V615" s="5" t="n"/>
      <c r="Z615" s="5" t="n"/>
    </row>
    <row r="616">
      <c r="D616" s="5" t="n"/>
      <c r="E616" s="5" t="n"/>
      <c r="F616" s="5" t="n"/>
      <c r="K616" s="5" t="n"/>
      <c r="S616" s="5" t="n"/>
      <c r="V616" s="5" t="n"/>
      <c r="Z616" s="5" t="n"/>
    </row>
    <row r="617">
      <c r="D617" s="5" t="n"/>
      <c r="E617" s="5" t="n"/>
      <c r="F617" s="5" t="n"/>
      <c r="K617" s="5" t="n"/>
      <c r="S617" s="5" t="n"/>
      <c r="V617" s="5" t="n"/>
      <c r="Z617" s="5" t="n"/>
    </row>
    <row r="618">
      <c r="D618" s="5" t="n"/>
      <c r="E618" s="5" t="n"/>
      <c r="F618" s="5" t="n"/>
      <c r="K618" s="5" t="n"/>
      <c r="S618" s="5" t="n"/>
      <c r="V618" s="5" t="n"/>
      <c r="Z618" s="5" t="n"/>
    </row>
    <row r="619">
      <c r="D619" s="5" t="n"/>
      <c r="E619" s="5" t="n"/>
      <c r="F619" s="5" t="n"/>
      <c r="K619" s="5" t="n"/>
      <c r="S619" s="5" t="n"/>
      <c r="V619" s="5" t="n"/>
      <c r="Z619" s="5" t="n"/>
    </row>
    <row r="620">
      <c r="D620" s="5" t="n"/>
      <c r="E620" s="5" t="n"/>
      <c r="F620" s="5" t="n"/>
      <c r="K620" s="5" t="n"/>
      <c r="S620" s="5" t="n"/>
      <c r="V620" s="5" t="n"/>
      <c r="Z620" s="5" t="n"/>
    </row>
    <row r="621">
      <c r="D621" s="5" t="n"/>
      <c r="E621" s="5" t="n"/>
      <c r="F621" s="5" t="n"/>
      <c r="K621" s="5" t="n"/>
      <c r="S621" s="5" t="n"/>
      <c r="V621" s="5" t="n"/>
      <c r="Z621" s="5" t="n"/>
    </row>
    <row r="622">
      <c r="D622" s="5" t="n"/>
      <c r="E622" s="5" t="n"/>
      <c r="F622" s="5" t="n"/>
      <c r="K622" s="5" t="n"/>
      <c r="S622" s="5" t="n"/>
      <c r="V622" s="5" t="n"/>
      <c r="Z622" s="5" t="n"/>
    </row>
    <row r="623">
      <c r="D623" s="5" t="n"/>
      <c r="E623" s="5" t="n"/>
      <c r="F623" s="5" t="n"/>
      <c r="K623" s="5" t="n"/>
      <c r="S623" s="5" t="n"/>
      <c r="V623" s="5" t="n"/>
      <c r="Z623" s="5" t="n"/>
    </row>
    <row r="624">
      <c r="D624" s="5" t="n"/>
      <c r="E624" s="5" t="n"/>
      <c r="F624" s="5" t="n"/>
      <c r="K624" s="5" t="n"/>
      <c r="S624" s="5" t="n"/>
      <c r="V624" s="5" t="n"/>
      <c r="Z624" s="5" t="n"/>
    </row>
    <row r="625">
      <c r="D625" s="5" t="n"/>
      <c r="E625" s="5" t="n"/>
      <c r="F625" s="5" t="n"/>
      <c r="K625" s="5" t="n"/>
      <c r="S625" s="5" t="n"/>
      <c r="V625" s="5" t="n"/>
      <c r="Z625" s="5" t="n"/>
    </row>
    <row r="626">
      <c r="D626" s="5" t="n"/>
      <c r="E626" s="5" t="n"/>
      <c r="F626" s="5" t="n"/>
      <c r="K626" s="5" t="n"/>
      <c r="S626" s="5" t="n"/>
      <c r="V626" s="5" t="n"/>
      <c r="Z626" s="5" t="n"/>
    </row>
    <row r="627">
      <c r="D627" s="5" t="n"/>
      <c r="E627" s="5" t="n"/>
      <c r="F627" s="5" t="n"/>
      <c r="K627" s="5" t="n"/>
      <c r="S627" s="5" t="n"/>
      <c r="V627" s="5" t="n"/>
      <c r="Z627" s="5" t="n"/>
    </row>
    <row r="628">
      <c r="D628" s="5" t="n"/>
      <c r="E628" s="5" t="n"/>
      <c r="F628" s="5" t="n"/>
      <c r="K628" s="5" t="n"/>
      <c r="S628" s="5" t="n"/>
      <c r="V628" s="5" t="n"/>
      <c r="Z628" s="5" t="n"/>
    </row>
    <row r="629">
      <c r="D629" s="5" t="n"/>
      <c r="E629" s="5" t="n"/>
      <c r="F629" s="5" t="n"/>
      <c r="K629" s="5" t="n"/>
      <c r="S629" s="5" t="n"/>
      <c r="V629" s="5" t="n"/>
      <c r="Z629" s="5" t="n"/>
    </row>
    <row r="630">
      <c r="D630" s="5" t="n"/>
      <c r="E630" s="5" t="n"/>
      <c r="F630" s="5" t="n"/>
      <c r="K630" s="5" t="n"/>
      <c r="S630" s="5" t="n"/>
      <c r="V630" s="5" t="n"/>
      <c r="Z630" s="5" t="n"/>
    </row>
    <row r="631">
      <c r="D631" s="5" t="n"/>
      <c r="E631" s="5" t="n"/>
      <c r="F631" s="5" t="n"/>
      <c r="K631" s="5" t="n"/>
      <c r="S631" s="5" t="n"/>
      <c r="V631" s="5" t="n"/>
      <c r="Z631" s="5" t="n"/>
    </row>
    <row r="632">
      <c r="D632" s="5" t="n"/>
      <c r="E632" s="5" t="n"/>
      <c r="F632" s="5" t="n"/>
      <c r="K632" s="5" t="n"/>
      <c r="S632" s="5" t="n"/>
      <c r="V632" s="5" t="n"/>
      <c r="Z632" s="5" t="n"/>
    </row>
    <row r="633">
      <c r="D633" s="5" t="n"/>
      <c r="E633" s="5" t="n"/>
      <c r="F633" s="5" t="n"/>
      <c r="K633" s="5" t="n"/>
      <c r="S633" s="5" t="n"/>
      <c r="V633" s="5" t="n"/>
      <c r="Z633" s="5" t="n"/>
    </row>
    <row r="634">
      <c r="D634" s="5" t="n"/>
      <c r="E634" s="5" t="n"/>
      <c r="F634" s="5" t="n"/>
      <c r="K634" s="5" t="n"/>
      <c r="S634" s="5" t="n"/>
      <c r="V634" s="5" t="n"/>
      <c r="Z634" s="5" t="n"/>
    </row>
    <row r="635">
      <c r="D635" s="5" t="n"/>
      <c r="E635" s="5" t="n"/>
      <c r="F635" s="5" t="n"/>
      <c r="K635" s="5" t="n"/>
      <c r="S635" s="5" t="n"/>
      <c r="V635" s="5" t="n"/>
      <c r="Z635" s="5" t="n"/>
    </row>
    <row r="636">
      <c r="D636" s="5" t="n"/>
      <c r="E636" s="5" t="n"/>
      <c r="F636" s="5" t="n"/>
      <c r="K636" s="5" t="n"/>
      <c r="S636" s="5" t="n"/>
      <c r="V636" s="5" t="n"/>
      <c r="Z636" s="5" t="n"/>
    </row>
    <row r="637">
      <c r="D637" s="5" t="n"/>
      <c r="E637" s="5" t="n"/>
      <c r="F637" s="5" t="n"/>
      <c r="K637" s="5" t="n"/>
      <c r="S637" s="5" t="n"/>
      <c r="V637" s="5" t="n"/>
      <c r="Z637" s="5" t="n"/>
    </row>
    <row r="638">
      <c r="D638" s="5" t="n"/>
      <c r="E638" s="5" t="n"/>
      <c r="F638" s="5" t="n"/>
      <c r="K638" s="5" t="n"/>
      <c r="S638" s="5" t="n"/>
      <c r="V638" s="5" t="n"/>
      <c r="Z638" s="5" t="n"/>
    </row>
    <row r="639">
      <c r="D639" s="5" t="n"/>
      <c r="E639" s="5" t="n"/>
      <c r="F639" s="5" t="n"/>
      <c r="K639" s="5" t="n"/>
      <c r="S639" s="5" t="n"/>
      <c r="V639" s="5" t="n"/>
      <c r="Z639" s="5" t="n"/>
    </row>
    <row r="640">
      <c r="D640" s="5" t="n"/>
      <c r="E640" s="5" t="n"/>
      <c r="F640" s="5" t="n"/>
      <c r="K640" s="5" t="n"/>
      <c r="S640" s="5" t="n"/>
      <c r="V640" s="5" t="n"/>
      <c r="Z640" s="5" t="n"/>
    </row>
    <row r="641">
      <c r="D641" s="5" t="n"/>
      <c r="E641" s="5" t="n"/>
      <c r="F641" s="5" t="n"/>
      <c r="K641" s="5" t="n"/>
      <c r="S641" s="5" t="n"/>
      <c r="V641" s="5" t="n"/>
      <c r="Z641" s="5" t="n"/>
    </row>
    <row r="642">
      <c r="D642" s="5" t="n"/>
      <c r="E642" s="5" t="n"/>
      <c r="F642" s="5" t="n"/>
      <c r="K642" s="5" t="n"/>
      <c r="S642" s="5" t="n"/>
      <c r="V642" s="5" t="n"/>
      <c r="Z642" s="5" t="n"/>
    </row>
    <row r="643">
      <c r="D643" s="5" t="n"/>
      <c r="E643" s="5" t="n"/>
      <c r="F643" s="5" t="n"/>
      <c r="K643" s="5" t="n"/>
      <c r="S643" s="5" t="n"/>
      <c r="V643" s="5" t="n"/>
      <c r="Z643" s="5" t="n"/>
    </row>
    <row r="644">
      <c r="D644" s="5" t="n"/>
      <c r="E644" s="5" t="n"/>
      <c r="F644" s="5" t="n"/>
      <c r="K644" s="5" t="n"/>
      <c r="S644" s="5" t="n"/>
      <c r="V644" s="5" t="n"/>
      <c r="Z644" s="5" t="n"/>
    </row>
    <row r="645">
      <c r="D645" s="5" t="n"/>
      <c r="E645" s="5" t="n"/>
      <c r="F645" s="5" t="n"/>
      <c r="K645" s="5" t="n"/>
      <c r="S645" s="5" t="n"/>
      <c r="V645" s="5" t="n"/>
      <c r="Z645" s="5" t="n"/>
    </row>
    <row r="646">
      <c r="D646" s="5" t="n"/>
      <c r="E646" s="5" t="n"/>
      <c r="F646" s="5" t="n"/>
      <c r="K646" s="5" t="n"/>
      <c r="S646" s="5" t="n"/>
      <c r="V646" s="5" t="n"/>
      <c r="Z646" s="5" t="n"/>
    </row>
    <row r="647">
      <c r="D647" s="5" t="n"/>
      <c r="E647" s="5" t="n"/>
      <c r="F647" s="5" t="n"/>
      <c r="K647" s="5" t="n"/>
      <c r="S647" s="5" t="n"/>
      <c r="V647" s="5" t="n"/>
      <c r="Z647" s="5" t="n"/>
    </row>
    <row r="648">
      <c r="D648" s="5" t="n"/>
      <c r="E648" s="5" t="n"/>
      <c r="F648" s="5" t="n"/>
      <c r="K648" s="5" t="n"/>
      <c r="S648" s="5" t="n"/>
      <c r="V648" s="5" t="n"/>
      <c r="Z648" s="5" t="n"/>
    </row>
    <row r="649">
      <c r="D649" s="5" t="n"/>
      <c r="E649" s="5" t="n"/>
      <c r="F649" s="5" t="n"/>
      <c r="K649" s="5" t="n"/>
      <c r="S649" s="5" t="n"/>
      <c r="V649" s="5" t="n"/>
      <c r="Z649" s="5" t="n"/>
    </row>
    <row r="650">
      <c r="D650" s="5" t="n"/>
      <c r="E650" s="5" t="n"/>
      <c r="F650" s="5" t="n"/>
      <c r="K650" s="5" t="n"/>
      <c r="S650" s="5" t="n"/>
      <c r="V650" s="5" t="n"/>
      <c r="Z650" s="5" t="n"/>
    </row>
    <row r="651">
      <c r="D651" s="5" t="n"/>
      <c r="E651" s="5" t="n"/>
      <c r="F651" s="5" t="n"/>
      <c r="K651" s="5" t="n"/>
      <c r="S651" s="5" t="n"/>
      <c r="V651" s="5" t="n"/>
      <c r="Z651" s="5" t="n"/>
    </row>
    <row r="652">
      <c r="D652" s="5" t="n"/>
      <c r="E652" s="5" t="n"/>
      <c r="F652" s="5" t="n"/>
      <c r="K652" s="5" t="n"/>
      <c r="S652" s="5" t="n"/>
      <c r="V652" s="5" t="n"/>
      <c r="Z652" s="5" t="n"/>
    </row>
    <row r="653">
      <c r="D653" s="5" t="n"/>
      <c r="E653" s="5" t="n"/>
      <c r="F653" s="5" t="n"/>
      <c r="K653" s="5" t="n"/>
      <c r="S653" s="5" t="n"/>
      <c r="V653" s="5" t="n"/>
      <c r="Z653" s="5" t="n"/>
    </row>
    <row r="654">
      <c r="D654" s="5" t="n"/>
      <c r="E654" s="5" t="n"/>
      <c r="F654" s="5" t="n"/>
      <c r="K654" s="5" t="n"/>
      <c r="S654" s="5" t="n"/>
      <c r="V654" s="5" t="n"/>
      <c r="Z654" s="5" t="n"/>
    </row>
    <row r="655">
      <c r="D655" s="5" t="n"/>
      <c r="E655" s="5" t="n"/>
      <c r="F655" s="5" t="n"/>
      <c r="K655" s="5" t="n"/>
      <c r="S655" s="5" t="n"/>
      <c r="V655" s="5" t="n"/>
      <c r="Z655" s="5" t="n"/>
    </row>
    <row r="656">
      <c r="D656" s="5" t="n"/>
      <c r="E656" s="5" t="n"/>
      <c r="F656" s="5" t="n"/>
      <c r="K656" s="5" t="n"/>
      <c r="S656" s="5" t="n"/>
      <c r="V656" s="5" t="n"/>
      <c r="Z656" s="5" t="n"/>
    </row>
    <row r="657">
      <c r="D657" s="5" t="n"/>
      <c r="E657" s="5" t="n"/>
      <c r="F657" s="5" t="n"/>
      <c r="K657" s="5" t="n"/>
      <c r="S657" s="5" t="n"/>
      <c r="V657" s="5" t="n"/>
      <c r="Z657" s="5" t="n"/>
    </row>
    <row r="658">
      <c r="D658" s="5" t="n"/>
      <c r="E658" s="5" t="n"/>
      <c r="F658" s="5" t="n"/>
      <c r="K658" s="5" t="n"/>
      <c r="S658" s="5" t="n"/>
      <c r="V658" s="5" t="n"/>
      <c r="Z658" s="5" t="n"/>
    </row>
    <row r="659">
      <c r="D659" s="5" t="n"/>
      <c r="E659" s="5" t="n"/>
      <c r="F659" s="5" t="n"/>
      <c r="K659" s="5" t="n"/>
      <c r="S659" s="5" t="n"/>
      <c r="V659" s="5" t="n"/>
      <c r="Z659" s="5" t="n"/>
    </row>
    <row r="660">
      <c r="D660" s="5" t="n"/>
      <c r="E660" s="5" t="n"/>
      <c r="F660" s="5" t="n"/>
      <c r="K660" s="5" t="n"/>
      <c r="S660" s="5" t="n"/>
      <c r="V660" s="5" t="n"/>
      <c r="Z660" s="5" t="n"/>
    </row>
    <row r="661">
      <c r="D661" s="5" t="n"/>
      <c r="E661" s="5" t="n"/>
      <c r="F661" s="5" t="n"/>
      <c r="K661" s="5" t="n"/>
      <c r="S661" s="5" t="n"/>
      <c r="V661" s="5" t="n"/>
      <c r="Z661" s="5" t="n"/>
    </row>
    <row r="662">
      <c r="D662" s="5" t="n"/>
      <c r="E662" s="5" t="n"/>
      <c r="F662" s="5" t="n"/>
      <c r="K662" s="5" t="n"/>
      <c r="S662" s="5" t="n"/>
      <c r="V662" s="5" t="n"/>
      <c r="Z662" s="5" t="n"/>
    </row>
    <row r="663">
      <c r="D663" s="5" t="n"/>
      <c r="E663" s="5" t="n"/>
      <c r="F663" s="5" t="n"/>
      <c r="K663" s="5" t="n"/>
      <c r="S663" s="5" t="n"/>
      <c r="V663" s="5" t="n"/>
      <c r="Z663" s="5" t="n"/>
    </row>
    <row r="664">
      <c r="D664" s="5" t="n"/>
      <c r="E664" s="5" t="n"/>
      <c r="F664" s="5" t="n"/>
      <c r="K664" s="5" t="n"/>
      <c r="S664" s="5" t="n"/>
      <c r="V664" s="5" t="n"/>
      <c r="Z664" s="5" t="n"/>
    </row>
    <row r="665">
      <c r="D665" s="5" t="n"/>
      <c r="E665" s="5" t="n"/>
      <c r="F665" s="5" t="n"/>
      <c r="K665" s="5" t="n"/>
      <c r="S665" s="5" t="n"/>
      <c r="V665" s="5" t="n"/>
      <c r="Z665" s="5" t="n"/>
    </row>
    <row r="666">
      <c r="D666" s="5" t="n"/>
      <c r="E666" s="5" t="n"/>
      <c r="F666" s="5" t="n"/>
      <c r="K666" s="5" t="n"/>
      <c r="S666" s="5" t="n"/>
      <c r="V666" s="5" t="n"/>
      <c r="Z666" s="5" t="n"/>
    </row>
    <row r="667">
      <c r="D667" s="5" t="n"/>
      <c r="E667" s="5" t="n"/>
      <c r="F667" s="5" t="n"/>
      <c r="K667" s="5" t="n"/>
      <c r="S667" s="5" t="n"/>
      <c r="V667" s="5" t="n"/>
      <c r="Z667" s="5" t="n"/>
    </row>
    <row r="668">
      <c r="D668" s="5" t="n"/>
      <c r="E668" s="5" t="n"/>
      <c r="F668" s="5" t="n"/>
      <c r="K668" s="5" t="n"/>
      <c r="S668" s="5" t="n"/>
      <c r="V668" s="5" t="n"/>
      <c r="Z668" s="5" t="n"/>
    </row>
    <row r="669">
      <c r="D669" s="5" t="n"/>
      <c r="E669" s="5" t="n"/>
      <c r="F669" s="5" t="n"/>
      <c r="K669" s="5" t="n"/>
      <c r="S669" s="5" t="n"/>
      <c r="V669" s="5" t="n"/>
      <c r="Z669" s="5" t="n"/>
    </row>
    <row r="670">
      <c r="D670" s="5" t="n"/>
      <c r="E670" s="5" t="n"/>
      <c r="F670" s="5" t="n"/>
      <c r="K670" s="5" t="n"/>
      <c r="S670" s="5" t="n"/>
      <c r="V670" s="5" t="n"/>
      <c r="Z670" s="5" t="n"/>
    </row>
    <row r="671">
      <c r="D671" s="5" t="n"/>
      <c r="E671" s="5" t="n"/>
      <c r="F671" s="5" t="n"/>
      <c r="K671" s="5" t="n"/>
      <c r="S671" s="5" t="n"/>
      <c r="V671" s="5" t="n"/>
      <c r="Z671" s="5" t="n"/>
    </row>
    <row r="672">
      <c r="D672" s="5" t="n"/>
      <c r="E672" s="5" t="n"/>
      <c r="F672" s="5" t="n"/>
      <c r="K672" s="5" t="n"/>
      <c r="S672" s="5" t="n"/>
      <c r="V672" s="5" t="n"/>
      <c r="Z672" s="5" t="n"/>
    </row>
    <row r="673">
      <c r="D673" s="5" t="n"/>
      <c r="E673" s="5" t="n"/>
      <c r="F673" s="5" t="n"/>
      <c r="K673" s="5" t="n"/>
      <c r="S673" s="5" t="n"/>
      <c r="V673" s="5" t="n"/>
      <c r="Z673" s="5" t="n"/>
    </row>
    <row r="674">
      <c r="D674" s="5" t="n"/>
      <c r="E674" s="5" t="n"/>
      <c r="F674" s="5" t="n"/>
      <c r="K674" s="5" t="n"/>
      <c r="S674" s="5" t="n"/>
      <c r="V674" s="5" t="n"/>
      <c r="Z674" s="5" t="n"/>
    </row>
    <row r="675">
      <c r="D675" s="5" t="n"/>
      <c r="E675" s="5" t="n"/>
      <c r="F675" s="5" t="n"/>
      <c r="K675" s="5" t="n"/>
      <c r="S675" s="5" t="n"/>
      <c r="V675" s="5" t="n"/>
      <c r="Z675" s="5" t="n"/>
    </row>
    <row r="676">
      <c r="D676" s="5" t="n"/>
      <c r="E676" s="5" t="n"/>
      <c r="F676" s="5" t="n"/>
      <c r="K676" s="5" t="n"/>
      <c r="S676" s="5" t="n"/>
      <c r="V676" s="5" t="n"/>
      <c r="Z676" s="5" t="n"/>
    </row>
    <row r="677">
      <c r="D677" s="5" t="n"/>
      <c r="E677" s="5" t="n"/>
      <c r="F677" s="5" t="n"/>
      <c r="K677" s="5" t="n"/>
      <c r="S677" s="5" t="n"/>
      <c r="V677" s="5" t="n"/>
      <c r="Z677" s="5" t="n"/>
    </row>
    <row r="678">
      <c r="D678" s="5" t="n"/>
      <c r="E678" s="5" t="n"/>
      <c r="F678" s="5" t="n"/>
      <c r="K678" s="5" t="n"/>
      <c r="S678" s="5" t="n"/>
      <c r="V678" s="5" t="n"/>
      <c r="Z678" s="5" t="n"/>
    </row>
    <row r="679">
      <c r="D679" s="5" t="n"/>
      <c r="E679" s="5" t="n"/>
      <c r="F679" s="5" t="n"/>
      <c r="K679" s="5" t="n"/>
      <c r="S679" s="5" t="n"/>
      <c r="V679" s="5" t="n"/>
      <c r="Z679" s="5" t="n"/>
    </row>
    <row r="680">
      <c r="D680" s="5" t="n"/>
      <c r="E680" s="5" t="n"/>
      <c r="F680" s="5" t="n"/>
      <c r="K680" s="5" t="n"/>
      <c r="S680" s="5" t="n"/>
      <c r="V680" s="5" t="n"/>
      <c r="Z680" s="5" t="n"/>
    </row>
    <row r="681">
      <c r="D681" s="5" t="n"/>
      <c r="E681" s="5" t="n"/>
      <c r="F681" s="5" t="n"/>
      <c r="K681" s="5" t="n"/>
      <c r="S681" s="5" t="n"/>
      <c r="V681" s="5" t="n"/>
      <c r="Z681" s="5" t="n"/>
    </row>
    <row r="682">
      <c r="D682" s="5" t="n"/>
      <c r="E682" s="5" t="n"/>
      <c r="F682" s="5" t="n"/>
      <c r="K682" s="5" t="n"/>
      <c r="S682" s="5" t="n"/>
      <c r="V682" s="5" t="n"/>
      <c r="Z682" s="5" t="n"/>
    </row>
    <row r="683">
      <c r="D683" s="5" t="n"/>
      <c r="E683" s="5" t="n"/>
      <c r="F683" s="5" t="n"/>
      <c r="K683" s="5" t="n"/>
      <c r="S683" s="5" t="n"/>
      <c r="V683" s="5" t="n"/>
      <c r="Z683" s="5" t="n"/>
    </row>
    <row r="684">
      <c r="D684" s="5" t="n"/>
      <c r="E684" s="5" t="n"/>
      <c r="F684" s="5" t="n"/>
      <c r="K684" s="5" t="n"/>
      <c r="S684" s="5" t="n"/>
      <c r="V684" s="5" t="n"/>
      <c r="Z684" s="5" t="n"/>
    </row>
    <row r="685">
      <c r="D685" s="5" t="n"/>
      <c r="E685" s="5" t="n"/>
      <c r="F685" s="5" t="n"/>
      <c r="K685" s="5" t="n"/>
      <c r="S685" s="5" t="n"/>
      <c r="V685" s="5" t="n"/>
      <c r="Z685" s="5" t="n"/>
    </row>
    <row r="686">
      <c r="D686" s="5" t="n"/>
      <c r="E686" s="5" t="n"/>
      <c r="F686" s="5" t="n"/>
      <c r="K686" s="5" t="n"/>
      <c r="S686" s="5" t="n"/>
      <c r="V686" s="5" t="n"/>
      <c r="Z686" s="5" t="n"/>
    </row>
    <row r="687">
      <c r="D687" s="5" t="n"/>
      <c r="E687" s="5" t="n"/>
      <c r="F687" s="5" t="n"/>
      <c r="K687" s="5" t="n"/>
      <c r="S687" s="5" t="n"/>
      <c r="V687" s="5" t="n"/>
      <c r="Z687" s="5" t="n"/>
    </row>
    <row r="688">
      <c r="D688" s="5" t="n"/>
      <c r="E688" s="5" t="n"/>
      <c r="F688" s="5" t="n"/>
      <c r="K688" s="5" t="n"/>
      <c r="S688" s="5" t="n"/>
      <c r="V688" s="5" t="n"/>
      <c r="Z688" s="5" t="n"/>
    </row>
    <row r="689">
      <c r="D689" s="5" t="n"/>
      <c r="E689" s="5" t="n"/>
      <c r="F689" s="5" t="n"/>
      <c r="K689" s="5" t="n"/>
      <c r="S689" s="5" t="n"/>
      <c r="V689" s="5" t="n"/>
      <c r="Z689" s="5" t="n"/>
    </row>
    <row r="690">
      <c r="D690" s="5" t="n"/>
      <c r="E690" s="5" t="n"/>
      <c r="F690" s="5" t="n"/>
      <c r="K690" s="5" t="n"/>
      <c r="S690" s="5" t="n"/>
      <c r="V690" s="5" t="n"/>
      <c r="Z690" s="5" t="n"/>
    </row>
    <row r="691">
      <c r="D691" s="5" t="n"/>
      <c r="E691" s="5" t="n"/>
      <c r="F691" s="5" t="n"/>
      <c r="K691" s="5" t="n"/>
      <c r="S691" s="5" t="n"/>
      <c r="V691" s="5" t="n"/>
      <c r="Z691" s="5" t="n"/>
    </row>
    <row r="692">
      <c r="D692" s="5" t="n"/>
      <c r="E692" s="5" t="n"/>
      <c r="F692" s="5" t="n"/>
      <c r="K692" s="5" t="n"/>
      <c r="S692" s="5" t="n"/>
      <c r="V692" s="5" t="n"/>
      <c r="Z692" s="5" t="n"/>
    </row>
    <row r="693">
      <c r="D693" s="5" t="n"/>
      <c r="E693" s="5" t="n"/>
      <c r="F693" s="5" t="n"/>
      <c r="K693" s="5" t="n"/>
      <c r="S693" s="5" t="n"/>
      <c r="V693" s="5" t="n"/>
      <c r="Z693" s="5" t="n"/>
    </row>
    <row r="694">
      <c r="D694" s="5" t="n"/>
      <c r="E694" s="5" t="n"/>
      <c r="F694" s="5" t="n"/>
      <c r="K694" s="5" t="n"/>
      <c r="S694" s="5" t="n"/>
      <c r="V694" s="5" t="n"/>
      <c r="Z694" s="5" t="n"/>
    </row>
    <row r="695">
      <c r="D695" s="5" t="n"/>
      <c r="E695" s="5" t="n"/>
      <c r="F695" s="5" t="n"/>
      <c r="K695" s="5" t="n"/>
      <c r="S695" s="5" t="n"/>
      <c r="V695" s="5" t="n"/>
      <c r="Z695" s="5" t="n"/>
    </row>
    <row r="696">
      <c r="D696" s="5" t="n"/>
      <c r="E696" s="5" t="n"/>
      <c r="F696" s="5" t="n"/>
      <c r="K696" s="5" t="n"/>
      <c r="S696" s="5" t="n"/>
      <c r="V696" s="5" t="n"/>
      <c r="Z696" s="5" t="n"/>
    </row>
    <row r="697">
      <c r="D697" s="5" t="n"/>
      <c r="E697" s="5" t="n"/>
      <c r="F697" s="5" t="n"/>
      <c r="K697" s="5" t="n"/>
      <c r="S697" s="5" t="n"/>
      <c r="V697" s="5" t="n"/>
      <c r="Z697" s="5" t="n"/>
    </row>
    <row r="698">
      <c r="D698" s="5" t="n"/>
      <c r="E698" s="5" t="n"/>
      <c r="F698" s="5" t="n"/>
      <c r="K698" s="5" t="n"/>
      <c r="S698" s="5" t="n"/>
      <c r="V698" s="5" t="n"/>
      <c r="Z698" s="5" t="n"/>
    </row>
    <row r="699">
      <c r="D699" s="5" t="n"/>
      <c r="E699" s="5" t="n"/>
      <c r="F699" s="5" t="n"/>
      <c r="K699" s="5" t="n"/>
      <c r="S699" s="5" t="n"/>
      <c r="V699" s="5" t="n"/>
      <c r="Z699" s="5" t="n"/>
    </row>
    <row r="700">
      <c r="D700" s="5" t="n"/>
      <c r="E700" s="5" t="n"/>
      <c r="F700" s="5" t="n"/>
      <c r="K700" s="5" t="n"/>
      <c r="S700" s="5" t="n"/>
      <c r="V700" s="5" t="n"/>
      <c r="Z700" s="5" t="n"/>
    </row>
    <row r="701">
      <c r="D701" s="5" t="n"/>
      <c r="E701" s="5" t="n"/>
      <c r="F701" s="5" t="n"/>
      <c r="K701" s="5" t="n"/>
      <c r="S701" s="5" t="n"/>
      <c r="V701" s="5" t="n"/>
      <c r="Z701" s="5" t="n"/>
    </row>
    <row r="702">
      <c r="D702" s="5" t="n"/>
      <c r="E702" s="5" t="n"/>
      <c r="F702" s="5" t="n"/>
      <c r="K702" s="5" t="n"/>
      <c r="S702" s="5" t="n"/>
      <c r="V702" s="5" t="n"/>
      <c r="Z702" s="5" t="n"/>
    </row>
    <row r="703">
      <c r="D703" s="5" t="n"/>
      <c r="E703" s="5" t="n"/>
      <c r="F703" s="5" t="n"/>
      <c r="K703" s="5" t="n"/>
      <c r="S703" s="5" t="n"/>
      <c r="V703" s="5" t="n"/>
      <c r="Z703" s="5" t="n"/>
    </row>
    <row r="704">
      <c r="D704" s="5" t="n"/>
      <c r="E704" s="5" t="n"/>
      <c r="F704" s="5" t="n"/>
      <c r="K704" s="5" t="n"/>
      <c r="S704" s="5" t="n"/>
      <c r="V704" s="5" t="n"/>
      <c r="Z704" s="5" t="n"/>
    </row>
    <row r="705">
      <c r="D705" s="5" t="n"/>
      <c r="E705" s="5" t="n"/>
      <c r="F705" s="5" t="n"/>
      <c r="K705" s="5" t="n"/>
      <c r="S705" s="5" t="n"/>
      <c r="V705" s="5" t="n"/>
      <c r="Z705" s="5" t="n"/>
    </row>
    <row r="706">
      <c r="D706" s="5" t="n"/>
      <c r="E706" s="5" t="n"/>
      <c r="F706" s="5" t="n"/>
      <c r="K706" s="5" t="n"/>
      <c r="S706" s="5" t="n"/>
      <c r="V706" s="5" t="n"/>
      <c r="Z706" s="5" t="n"/>
    </row>
    <row r="707">
      <c r="D707" s="5" t="n"/>
      <c r="E707" s="5" t="n"/>
      <c r="F707" s="5" t="n"/>
      <c r="K707" s="5" t="n"/>
      <c r="S707" s="5" t="n"/>
      <c r="V707" s="5" t="n"/>
      <c r="Z707" s="5" t="n"/>
    </row>
    <row r="708">
      <c r="D708" s="5" t="n"/>
      <c r="E708" s="5" t="n"/>
      <c r="F708" s="5" t="n"/>
      <c r="K708" s="5" t="n"/>
      <c r="S708" s="5" t="n"/>
      <c r="V708" s="5" t="n"/>
      <c r="Z708" s="5" t="n"/>
    </row>
    <row r="709">
      <c r="D709" s="5" t="n"/>
      <c r="E709" s="5" t="n"/>
      <c r="F709" s="5" t="n"/>
      <c r="K709" s="5" t="n"/>
      <c r="S709" s="5" t="n"/>
      <c r="V709" s="5" t="n"/>
      <c r="Z709" s="5" t="n"/>
    </row>
    <row r="710">
      <c r="D710" s="5" t="n"/>
      <c r="E710" s="5" t="n"/>
      <c r="F710" s="5" t="n"/>
      <c r="K710" s="5" t="n"/>
      <c r="S710" s="5" t="n"/>
      <c r="V710" s="5" t="n"/>
      <c r="Z710" s="5" t="n"/>
    </row>
    <row r="711">
      <c r="D711" s="5" t="n"/>
      <c r="E711" s="5" t="n"/>
      <c r="F711" s="5" t="n"/>
      <c r="K711" s="5" t="n"/>
      <c r="S711" s="5" t="n"/>
      <c r="V711" s="5" t="n"/>
      <c r="Z711" s="5" t="n"/>
    </row>
    <row r="712">
      <c r="D712" s="5" t="n"/>
      <c r="E712" s="5" t="n"/>
      <c r="F712" s="5" t="n"/>
      <c r="K712" s="5" t="n"/>
      <c r="S712" s="5" t="n"/>
      <c r="V712" s="5" t="n"/>
      <c r="Z712" s="5" t="n"/>
    </row>
    <row r="713">
      <c r="D713" s="5" t="n"/>
      <c r="E713" s="5" t="n"/>
      <c r="F713" s="5" t="n"/>
      <c r="K713" s="5" t="n"/>
      <c r="S713" s="5" t="n"/>
      <c r="V713" s="5" t="n"/>
      <c r="Z713" s="5" t="n"/>
    </row>
    <row r="714">
      <c r="D714" s="5" t="n"/>
      <c r="E714" s="5" t="n"/>
      <c r="F714" s="5" t="n"/>
      <c r="K714" s="5" t="n"/>
      <c r="S714" s="5" t="n"/>
      <c r="V714" s="5" t="n"/>
      <c r="Z714" s="5" t="n"/>
    </row>
    <row r="715">
      <c r="D715" s="5" t="n"/>
      <c r="E715" s="5" t="n"/>
      <c r="F715" s="5" t="n"/>
      <c r="K715" s="5" t="n"/>
      <c r="S715" s="5" t="n"/>
      <c r="V715" s="5" t="n"/>
      <c r="Z715" s="5" t="n"/>
    </row>
    <row r="716">
      <c r="D716" s="5" t="n"/>
      <c r="E716" s="5" t="n"/>
      <c r="F716" s="5" t="n"/>
      <c r="K716" s="5" t="n"/>
      <c r="S716" s="5" t="n"/>
      <c r="V716" s="5" t="n"/>
      <c r="Z716" s="5" t="n"/>
    </row>
    <row r="717">
      <c r="D717" s="5" t="n"/>
      <c r="E717" s="5" t="n"/>
      <c r="F717" s="5" t="n"/>
      <c r="K717" s="5" t="n"/>
      <c r="S717" s="5" t="n"/>
      <c r="V717" s="5" t="n"/>
      <c r="Z717" s="5" t="n"/>
    </row>
    <row r="718">
      <c r="D718" s="5" t="n"/>
      <c r="E718" s="5" t="n"/>
      <c r="F718" s="5" t="n"/>
      <c r="K718" s="5" t="n"/>
      <c r="S718" s="5" t="n"/>
      <c r="V718" s="5" t="n"/>
      <c r="Z718" s="5" t="n"/>
    </row>
    <row r="719">
      <c r="D719" s="5" t="n"/>
      <c r="E719" s="5" t="n"/>
      <c r="F719" s="5" t="n"/>
      <c r="K719" s="5" t="n"/>
      <c r="S719" s="5" t="n"/>
      <c r="V719" s="5" t="n"/>
      <c r="Z719" s="5" t="n"/>
    </row>
    <row r="720">
      <c r="D720" s="5" t="n"/>
      <c r="E720" s="5" t="n"/>
      <c r="F720" s="5" t="n"/>
      <c r="K720" s="5" t="n"/>
      <c r="S720" s="5" t="n"/>
      <c r="V720" s="5" t="n"/>
      <c r="Z720" s="5" t="n"/>
    </row>
    <row r="721">
      <c r="D721" s="5" t="n"/>
      <c r="E721" s="5" t="n"/>
      <c r="F721" s="5" t="n"/>
      <c r="K721" s="5" t="n"/>
      <c r="S721" s="5" t="n"/>
      <c r="V721" s="5" t="n"/>
      <c r="Z721" s="5" t="n"/>
    </row>
    <row r="722">
      <c r="D722" s="5" t="n"/>
      <c r="E722" s="5" t="n"/>
      <c r="F722" s="5" t="n"/>
      <c r="K722" s="5" t="n"/>
      <c r="S722" s="5" t="n"/>
      <c r="V722" s="5" t="n"/>
      <c r="Z722" s="5" t="n"/>
    </row>
    <row r="723">
      <c r="D723" s="5" t="n"/>
      <c r="E723" s="5" t="n"/>
      <c r="F723" s="5" t="n"/>
      <c r="K723" s="5" t="n"/>
      <c r="S723" s="5" t="n"/>
      <c r="V723" s="5" t="n"/>
      <c r="Z723" s="5" t="n"/>
    </row>
    <row r="724">
      <c r="D724" s="5" t="n"/>
      <c r="E724" s="5" t="n"/>
      <c r="F724" s="5" t="n"/>
      <c r="K724" s="5" t="n"/>
      <c r="S724" s="5" t="n"/>
      <c r="V724" s="5" t="n"/>
      <c r="Z724" s="5" t="n"/>
    </row>
    <row r="725">
      <c r="D725" s="5" t="n"/>
      <c r="E725" s="5" t="n"/>
      <c r="F725" s="5" t="n"/>
      <c r="K725" s="5" t="n"/>
      <c r="S725" s="5" t="n"/>
      <c r="V725" s="5" t="n"/>
      <c r="Z725" s="5" t="n"/>
    </row>
    <row r="726">
      <c r="D726" s="5" t="n"/>
      <c r="E726" s="5" t="n"/>
      <c r="F726" s="5" t="n"/>
      <c r="K726" s="5" t="n"/>
      <c r="S726" s="5" t="n"/>
      <c r="V726" s="5" t="n"/>
      <c r="Z726" s="5" t="n"/>
    </row>
    <row r="727">
      <c r="D727" s="5" t="n"/>
      <c r="E727" s="5" t="n"/>
      <c r="F727" s="5" t="n"/>
      <c r="K727" s="5" t="n"/>
      <c r="S727" s="5" t="n"/>
      <c r="V727" s="5" t="n"/>
      <c r="Z727" s="5" t="n"/>
    </row>
    <row r="728">
      <c r="D728" s="5" t="n"/>
      <c r="E728" s="5" t="n"/>
      <c r="F728" s="5" t="n"/>
      <c r="K728" s="5" t="n"/>
      <c r="S728" s="5" t="n"/>
      <c r="V728" s="5" t="n"/>
      <c r="Z728" s="5" t="n"/>
    </row>
    <row r="729">
      <c r="D729" s="5" t="n"/>
      <c r="E729" s="5" t="n"/>
      <c r="F729" s="5" t="n"/>
      <c r="K729" s="5" t="n"/>
      <c r="S729" s="5" t="n"/>
      <c r="V729" s="5" t="n"/>
      <c r="Z729" s="5" t="n"/>
    </row>
    <row r="730">
      <c r="D730" s="5" t="n"/>
      <c r="E730" s="5" t="n"/>
      <c r="F730" s="5" t="n"/>
      <c r="K730" s="5" t="n"/>
      <c r="S730" s="5" t="n"/>
      <c r="V730" s="5" t="n"/>
      <c r="Z730" s="5" t="n"/>
    </row>
    <row r="731">
      <c r="D731" s="5" t="n"/>
      <c r="E731" s="5" t="n"/>
      <c r="F731" s="5" t="n"/>
      <c r="K731" s="5" t="n"/>
      <c r="S731" s="5" t="n"/>
      <c r="V731" s="5" t="n"/>
      <c r="Z731" s="5" t="n"/>
    </row>
    <row r="732">
      <c r="D732" s="5" t="n"/>
      <c r="E732" s="5" t="n"/>
      <c r="F732" s="5" t="n"/>
      <c r="K732" s="5" t="n"/>
      <c r="S732" s="5" t="n"/>
      <c r="V732" s="5" t="n"/>
      <c r="Z732" s="5" t="n"/>
    </row>
    <row r="733">
      <c r="D733" s="5" t="n"/>
      <c r="E733" s="5" t="n"/>
      <c r="F733" s="5" t="n"/>
      <c r="K733" s="5" t="n"/>
      <c r="S733" s="5" t="n"/>
      <c r="V733" s="5" t="n"/>
      <c r="Z733" s="5" t="n"/>
    </row>
    <row r="734">
      <c r="D734" s="5" t="n"/>
      <c r="E734" s="5" t="n"/>
      <c r="F734" s="5" t="n"/>
      <c r="K734" s="5" t="n"/>
      <c r="S734" s="5" t="n"/>
      <c r="V734" s="5" t="n"/>
      <c r="Z734" s="5" t="n"/>
    </row>
    <row r="735">
      <c r="D735" s="5" t="n"/>
      <c r="E735" s="5" t="n"/>
      <c r="F735" s="5" t="n"/>
      <c r="K735" s="5" t="n"/>
      <c r="S735" s="5" t="n"/>
      <c r="V735" s="5" t="n"/>
      <c r="Z735" s="5" t="n"/>
    </row>
    <row r="736">
      <c r="D736" s="5" t="n"/>
      <c r="E736" s="5" t="n"/>
      <c r="F736" s="5" t="n"/>
      <c r="K736" s="5" t="n"/>
      <c r="S736" s="5" t="n"/>
      <c r="V736" s="5" t="n"/>
      <c r="Z736" s="5" t="n"/>
    </row>
    <row r="737">
      <c r="D737" s="5" t="n"/>
      <c r="E737" s="5" t="n"/>
      <c r="F737" s="5" t="n"/>
      <c r="K737" s="5" t="n"/>
      <c r="S737" s="5" t="n"/>
      <c r="V737" s="5" t="n"/>
      <c r="Z737" s="5" t="n"/>
    </row>
    <row r="738">
      <c r="D738" s="5" t="n"/>
      <c r="E738" s="5" t="n"/>
      <c r="F738" s="5" t="n"/>
      <c r="K738" s="5" t="n"/>
      <c r="S738" s="5" t="n"/>
      <c r="V738" s="5" t="n"/>
      <c r="Z738" s="5" t="n"/>
    </row>
    <row r="739">
      <c r="D739" s="5" t="n"/>
      <c r="E739" s="5" t="n"/>
      <c r="F739" s="5" t="n"/>
      <c r="K739" s="5" t="n"/>
      <c r="S739" s="5" t="n"/>
      <c r="V739" s="5" t="n"/>
      <c r="Z739" s="5" t="n"/>
    </row>
    <row r="740">
      <c r="D740" s="5" t="n"/>
      <c r="E740" s="5" t="n"/>
      <c r="F740" s="5" t="n"/>
      <c r="K740" s="5" t="n"/>
      <c r="S740" s="5" t="n"/>
      <c r="V740" s="5" t="n"/>
      <c r="Z740" s="5" t="n"/>
    </row>
    <row r="741">
      <c r="D741" s="5" t="n"/>
      <c r="E741" s="5" t="n"/>
      <c r="F741" s="5" t="n"/>
      <c r="K741" s="5" t="n"/>
      <c r="S741" s="5" t="n"/>
      <c r="V741" s="5" t="n"/>
      <c r="Z741" s="5" t="n"/>
    </row>
    <row r="742">
      <c r="D742" s="5" t="n"/>
      <c r="E742" s="5" t="n"/>
      <c r="F742" s="5" t="n"/>
      <c r="K742" s="5" t="n"/>
      <c r="S742" s="5" t="n"/>
      <c r="V742" s="5" t="n"/>
      <c r="Z742" s="5" t="n"/>
    </row>
    <row r="743">
      <c r="D743" s="5" t="n"/>
      <c r="E743" s="5" t="n"/>
      <c r="F743" s="5" t="n"/>
      <c r="K743" s="5" t="n"/>
      <c r="S743" s="5" t="n"/>
      <c r="V743" s="5" t="n"/>
      <c r="Z743" s="5" t="n"/>
    </row>
    <row r="744">
      <c r="D744" s="5" t="n"/>
      <c r="E744" s="5" t="n"/>
      <c r="F744" s="5" t="n"/>
      <c r="K744" s="5" t="n"/>
      <c r="S744" s="5" t="n"/>
      <c r="V744" s="5" t="n"/>
      <c r="Z744" s="5" t="n"/>
    </row>
    <row r="745">
      <c r="D745" s="5" t="n"/>
      <c r="E745" s="5" t="n"/>
      <c r="F745" s="5" t="n"/>
      <c r="K745" s="5" t="n"/>
      <c r="S745" s="5" t="n"/>
      <c r="V745" s="5" t="n"/>
      <c r="Z745" s="5" t="n"/>
    </row>
    <row r="746">
      <c r="D746" s="5" t="n"/>
      <c r="E746" s="5" t="n"/>
      <c r="F746" s="5" t="n"/>
      <c r="K746" s="5" t="n"/>
      <c r="S746" s="5" t="n"/>
      <c r="V746" s="5" t="n"/>
      <c r="Z746" s="5" t="n"/>
    </row>
    <row r="747">
      <c r="D747" s="5" t="n"/>
      <c r="E747" s="5" t="n"/>
      <c r="F747" s="5" t="n"/>
      <c r="K747" s="5" t="n"/>
      <c r="S747" s="5" t="n"/>
      <c r="V747" s="5" t="n"/>
      <c r="Z747" s="5" t="n"/>
    </row>
    <row r="748">
      <c r="D748" s="5" t="n"/>
      <c r="E748" s="5" t="n"/>
      <c r="F748" s="5" t="n"/>
      <c r="K748" s="5" t="n"/>
      <c r="S748" s="5" t="n"/>
      <c r="V748" s="5" t="n"/>
      <c r="Z748" s="5" t="n"/>
    </row>
    <row r="749">
      <c r="D749" s="5" t="n"/>
      <c r="E749" s="5" t="n"/>
      <c r="F749" s="5" t="n"/>
      <c r="K749" s="5" t="n"/>
      <c r="S749" s="5" t="n"/>
      <c r="V749" s="5" t="n"/>
      <c r="Z749" s="5" t="n"/>
    </row>
    <row r="750">
      <c r="D750" s="5" t="n"/>
      <c r="E750" s="5" t="n"/>
      <c r="F750" s="5" t="n"/>
      <c r="K750" s="5" t="n"/>
      <c r="S750" s="5" t="n"/>
      <c r="V750" s="5" t="n"/>
      <c r="Z750" s="5" t="n"/>
    </row>
    <row r="751">
      <c r="D751" s="5" t="n"/>
      <c r="E751" s="5" t="n"/>
      <c r="F751" s="5" t="n"/>
      <c r="K751" s="5" t="n"/>
      <c r="S751" s="5" t="n"/>
      <c r="V751" s="5" t="n"/>
      <c r="Z751" s="5" t="n"/>
    </row>
    <row r="752">
      <c r="D752" s="5" t="n"/>
      <c r="E752" s="5" t="n"/>
      <c r="F752" s="5" t="n"/>
      <c r="K752" s="5" t="n"/>
      <c r="S752" s="5" t="n"/>
      <c r="V752" s="5" t="n"/>
      <c r="Z752" s="5" t="n"/>
    </row>
    <row r="753">
      <c r="D753" s="5" t="n"/>
      <c r="E753" s="5" t="n"/>
      <c r="F753" s="5" t="n"/>
      <c r="K753" s="5" t="n"/>
      <c r="S753" s="5" t="n"/>
      <c r="V753" s="5" t="n"/>
      <c r="Z753" s="5" t="n"/>
    </row>
    <row r="754">
      <c r="D754" s="5" t="n"/>
      <c r="E754" s="5" t="n"/>
      <c r="F754" s="5" t="n"/>
      <c r="K754" s="5" t="n"/>
      <c r="S754" s="5" t="n"/>
      <c r="V754" s="5" t="n"/>
      <c r="Z754" s="5" t="n"/>
    </row>
    <row r="755">
      <c r="D755" s="5" t="n"/>
      <c r="E755" s="5" t="n"/>
      <c r="F755" s="5" t="n"/>
      <c r="K755" s="5" t="n"/>
      <c r="S755" s="5" t="n"/>
      <c r="V755" s="5" t="n"/>
      <c r="Z755" s="5" t="n"/>
    </row>
    <row r="756">
      <c r="D756" s="5" t="n"/>
      <c r="E756" s="5" t="n"/>
      <c r="F756" s="5" t="n"/>
      <c r="K756" s="5" t="n"/>
      <c r="S756" s="5" t="n"/>
      <c r="V756" s="5" t="n"/>
      <c r="Z756" s="5" t="n"/>
    </row>
    <row r="757">
      <c r="D757" s="5" t="n"/>
      <c r="E757" s="5" t="n"/>
      <c r="F757" s="5" t="n"/>
      <c r="K757" s="5" t="n"/>
      <c r="S757" s="5" t="n"/>
      <c r="V757" s="5" t="n"/>
      <c r="Z757" s="5" t="n"/>
    </row>
    <row r="758">
      <c r="D758" s="5" t="n"/>
      <c r="E758" s="5" t="n"/>
      <c r="F758" s="5" t="n"/>
      <c r="K758" s="5" t="n"/>
      <c r="S758" s="5" t="n"/>
      <c r="V758" s="5" t="n"/>
      <c r="Z758" s="5" t="n"/>
    </row>
    <row r="759">
      <c r="D759" s="5" t="n"/>
      <c r="E759" s="5" t="n"/>
      <c r="F759" s="5" t="n"/>
      <c r="K759" s="5" t="n"/>
      <c r="S759" s="5" t="n"/>
      <c r="V759" s="5" t="n"/>
      <c r="Z759" s="5" t="n"/>
    </row>
    <row r="760">
      <c r="D760" s="5" t="n"/>
      <c r="E760" s="5" t="n"/>
      <c r="F760" s="5" t="n"/>
      <c r="K760" s="5" t="n"/>
      <c r="S760" s="5" t="n"/>
      <c r="V760" s="5" t="n"/>
      <c r="Z760" s="5" t="n"/>
    </row>
    <row r="761">
      <c r="D761" s="5" t="n"/>
      <c r="E761" s="5" t="n"/>
      <c r="F761" s="5" t="n"/>
      <c r="K761" s="5" t="n"/>
      <c r="S761" s="5" t="n"/>
      <c r="V761" s="5" t="n"/>
      <c r="Z761" s="5" t="n"/>
    </row>
    <row r="762">
      <c r="D762" s="5" t="n"/>
      <c r="E762" s="5" t="n"/>
      <c r="F762" s="5" t="n"/>
      <c r="K762" s="5" t="n"/>
      <c r="S762" s="5" t="n"/>
      <c r="V762" s="5" t="n"/>
      <c r="Z762" s="5" t="n"/>
    </row>
    <row r="763">
      <c r="D763" s="5" t="n"/>
      <c r="E763" s="5" t="n"/>
      <c r="F763" s="5" t="n"/>
      <c r="K763" s="5" t="n"/>
      <c r="S763" s="5" t="n"/>
      <c r="V763" s="5" t="n"/>
      <c r="Z763" s="5" t="n"/>
    </row>
    <row r="764">
      <c r="D764" s="5" t="n"/>
      <c r="E764" s="5" t="n"/>
      <c r="F764" s="5" t="n"/>
      <c r="K764" s="5" t="n"/>
      <c r="S764" s="5" t="n"/>
      <c r="V764" s="5" t="n"/>
      <c r="Z764" s="5" t="n"/>
    </row>
    <row r="765">
      <c r="D765" s="5" t="n"/>
      <c r="E765" s="5" t="n"/>
      <c r="F765" s="5" t="n"/>
      <c r="K765" s="5" t="n"/>
      <c r="S765" s="5" t="n"/>
      <c r="V765" s="5" t="n"/>
      <c r="Z765" s="5" t="n"/>
    </row>
    <row r="766">
      <c r="D766" s="5" t="n"/>
      <c r="E766" s="5" t="n"/>
      <c r="F766" s="5" t="n"/>
      <c r="K766" s="5" t="n"/>
      <c r="S766" s="5" t="n"/>
      <c r="V766" s="5" t="n"/>
      <c r="Z766" s="5" t="n"/>
    </row>
    <row r="767">
      <c r="D767" s="5" t="n"/>
      <c r="E767" s="5" t="n"/>
      <c r="F767" s="5" t="n"/>
      <c r="K767" s="5" t="n"/>
      <c r="S767" s="5" t="n"/>
      <c r="V767" s="5" t="n"/>
      <c r="Z767" s="5" t="n"/>
    </row>
    <row r="768">
      <c r="D768" s="5" t="n"/>
      <c r="E768" s="5" t="n"/>
      <c r="F768" s="5" t="n"/>
      <c r="K768" s="5" t="n"/>
      <c r="S768" s="5" t="n"/>
      <c r="V768" s="5" t="n"/>
      <c r="Z768" s="5" t="n"/>
    </row>
    <row r="769">
      <c r="D769" s="5" t="n"/>
      <c r="E769" s="5" t="n"/>
      <c r="F769" s="5" t="n"/>
      <c r="K769" s="5" t="n"/>
      <c r="S769" s="5" t="n"/>
      <c r="V769" s="5" t="n"/>
      <c r="Z769" s="5" t="n"/>
    </row>
    <row r="770">
      <c r="D770" s="5" t="n"/>
      <c r="E770" s="5" t="n"/>
      <c r="F770" s="5" t="n"/>
      <c r="K770" s="5" t="n"/>
      <c r="S770" s="5" t="n"/>
      <c r="V770" s="5" t="n"/>
      <c r="Z770" s="5" t="n"/>
    </row>
    <row r="771">
      <c r="D771" s="5" t="n"/>
      <c r="E771" s="5" t="n"/>
      <c r="F771" s="5" t="n"/>
      <c r="K771" s="5" t="n"/>
      <c r="S771" s="5" t="n"/>
      <c r="V771" s="5" t="n"/>
      <c r="Z771" s="5" t="n"/>
    </row>
    <row r="772">
      <c r="D772" s="5" t="n"/>
      <c r="E772" s="5" t="n"/>
      <c r="F772" s="5" t="n"/>
      <c r="K772" s="5" t="n"/>
      <c r="S772" s="5" t="n"/>
      <c r="V772" s="5" t="n"/>
      <c r="Z772" s="5" t="n"/>
    </row>
    <row r="773">
      <c r="D773" s="5" t="n"/>
      <c r="E773" s="5" t="n"/>
      <c r="F773" s="5" t="n"/>
      <c r="K773" s="5" t="n"/>
      <c r="S773" s="5" t="n"/>
      <c r="V773" s="5" t="n"/>
      <c r="Z773" s="5" t="n"/>
    </row>
    <row r="774">
      <c r="D774" s="5" t="n"/>
      <c r="E774" s="5" t="n"/>
      <c r="F774" s="5" t="n"/>
      <c r="K774" s="5" t="n"/>
      <c r="S774" s="5" t="n"/>
      <c r="V774" s="5" t="n"/>
      <c r="Z774" s="5" t="n"/>
    </row>
    <row r="775">
      <c r="D775" s="5" t="n"/>
      <c r="E775" s="5" t="n"/>
      <c r="F775" s="5" t="n"/>
      <c r="K775" s="5" t="n"/>
      <c r="S775" s="5" t="n"/>
      <c r="V775" s="5" t="n"/>
      <c r="Z775" s="5" t="n"/>
    </row>
    <row r="776">
      <c r="D776" s="5" t="n"/>
      <c r="E776" s="5" t="n"/>
      <c r="F776" s="5" t="n"/>
      <c r="K776" s="5" t="n"/>
      <c r="S776" s="5" t="n"/>
      <c r="V776" s="5" t="n"/>
      <c r="Z776" s="5" t="n"/>
    </row>
    <row r="777">
      <c r="D777" s="5" t="n"/>
      <c r="E777" s="5" t="n"/>
      <c r="F777" s="5" t="n"/>
      <c r="K777" s="5" t="n"/>
      <c r="S777" s="5" t="n"/>
      <c r="V777" s="5" t="n"/>
      <c r="Z777" s="5" t="n"/>
    </row>
    <row r="778">
      <c r="D778" s="5" t="n"/>
      <c r="E778" s="5" t="n"/>
      <c r="F778" s="5" t="n"/>
      <c r="K778" s="5" t="n"/>
      <c r="S778" s="5" t="n"/>
      <c r="V778" s="5" t="n"/>
      <c r="Z778" s="5" t="n"/>
    </row>
    <row r="779">
      <c r="D779" s="5" t="n"/>
      <c r="E779" s="5" t="n"/>
      <c r="F779" s="5" t="n"/>
      <c r="K779" s="5" t="n"/>
      <c r="S779" s="5" t="n"/>
      <c r="V779" s="5" t="n"/>
      <c r="Z779" s="5" t="n"/>
    </row>
    <row r="780">
      <c r="D780" s="5" t="n"/>
      <c r="E780" s="5" t="n"/>
      <c r="F780" s="5" t="n"/>
      <c r="K780" s="5" t="n"/>
      <c r="S780" s="5" t="n"/>
      <c r="V780" s="5" t="n"/>
      <c r="Z780" s="5" t="n"/>
    </row>
    <row r="781">
      <c r="D781" s="5" t="n"/>
      <c r="E781" s="5" t="n"/>
      <c r="F781" s="5" t="n"/>
      <c r="K781" s="5" t="n"/>
      <c r="S781" s="5" t="n"/>
      <c r="V781" s="5" t="n"/>
      <c r="Z781" s="5" t="n"/>
    </row>
    <row r="782">
      <c r="D782" s="5" t="n"/>
      <c r="E782" s="5" t="n"/>
      <c r="F782" s="5" t="n"/>
      <c r="K782" s="5" t="n"/>
      <c r="S782" s="5" t="n"/>
      <c r="V782" s="5" t="n"/>
      <c r="Z782" s="5" t="n"/>
    </row>
    <row r="783">
      <c r="D783" s="5" t="n"/>
      <c r="E783" s="5" t="n"/>
      <c r="F783" s="5" t="n"/>
      <c r="K783" s="5" t="n"/>
      <c r="S783" s="5" t="n"/>
      <c r="V783" s="5" t="n"/>
      <c r="Z783" s="5" t="n"/>
    </row>
    <row r="784">
      <c r="D784" s="5" t="n"/>
      <c r="E784" s="5" t="n"/>
      <c r="F784" s="5" t="n"/>
      <c r="K784" s="5" t="n"/>
      <c r="S784" s="5" t="n"/>
      <c r="V784" s="5" t="n"/>
      <c r="Z784" s="5" t="n"/>
    </row>
    <row r="785">
      <c r="D785" s="5" t="n"/>
      <c r="E785" s="5" t="n"/>
      <c r="F785" s="5" t="n"/>
      <c r="K785" s="5" t="n"/>
      <c r="S785" s="5" t="n"/>
      <c r="V785" s="5" t="n"/>
      <c r="Z785" s="5" t="n"/>
    </row>
    <row r="786">
      <c r="D786" s="5" t="n"/>
      <c r="E786" s="5" t="n"/>
      <c r="F786" s="5" t="n"/>
      <c r="K786" s="5" t="n"/>
      <c r="S786" s="5" t="n"/>
      <c r="V786" s="5" t="n"/>
      <c r="Z786" s="5" t="n"/>
    </row>
    <row r="787">
      <c r="D787" s="5" t="n"/>
      <c r="E787" s="5" t="n"/>
      <c r="F787" s="5" t="n"/>
      <c r="K787" s="5" t="n"/>
      <c r="S787" s="5" t="n"/>
      <c r="V787" s="5" t="n"/>
      <c r="Z787" s="5" t="n"/>
    </row>
    <row r="788">
      <c r="D788" s="5" t="n"/>
      <c r="E788" s="5" t="n"/>
      <c r="F788" s="5" t="n"/>
      <c r="K788" s="5" t="n"/>
      <c r="S788" s="5" t="n"/>
      <c r="V788" s="5" t="n"/>
      <c r="Z788" s="5" t="n"/>
    </row>
    <row r="789">
      <c r="D789" s="5" t="n"/>
      <c r="E789" s="5" t="n"/>
      <c r="F789" s="5" t="n"/>
      <c r="K789" s="5" t="n"/>
      <c r="S789" s="5" t="n"/>
      <c r="V789" s="5" t="n"/>
      <c r="Z789" s="5" t="n"/>
    </row>
    <row r="790">
      <c r="D790" s="5" t="n"/>
      <c r="E790" s="5" t="n"/>
      <c r="F790" s="5" t="n"/>
      <c r="K790" s="5" t="n"/>
      <c r="S790" s="5" t="n"/>
      <c r="V790" s="5" t="n"/>
      <c r="Z790" s="5" t="n"/>
    </row>
    <row r="791">
      <c r="D791" s="5" t="n"/>
      <c r="E791" s="5" t="n"/>
      <c r="F791" s="5" t="n"/>
      <c r="K791" s="5" t="n"/>
      <c r="S791" s="5" t="n"/>
      <c r="V791" s="5" t="n"/>
      <c r="Z791" s="5" t="n"/>
    </row>
    <row r="792">
      <c r="D792" s="5" t="n"/>
      <c r="E792" s="5" t="n"/>
      <c r="F792" s="5" t="n"/>
      <c r="K792" s="5" t="n"/>
      <c r="S792" s="5" t="n"/>
      <c r="V792" s="5" t="n"/>
      <c r="Z792" s="5" t="n"/>
    </row>
    <row r="793">
      <c r="D793" s="5" t="n"/>
      <c r="E793" s="5" t="n"/>
      <c r="F793" s="5" t="n"/>
      <c r="K793" s="5" t="n"/>
      <c r="S793" s="5" t="n"/>
      <c r="V793" s="5" t="n"/>
      <c r="Z793" s="5" t="n"/>
    </row>
    <row r="794">
      <c r="D794" s="5" t="n"/>
      <c r="E794" s="5" t="n"/>
      <c r="F794" s="5" t="n"/>
      <c r="K794" s="5" t="n"/>
      <c r="S794" s="5" t="n"/>
      <c r="V794" s="5" t="n"/>
      <c r="Z794" s="5" t="n"/>
    </row>
    <row r="795">
      <c r="D795" s="5" t="n"/>
      <c r="E795" s="5" t="n"/>
      <c r="F795" s="5" t="n"/>
      <c r="K795" s="5" t="n"/>
      <c r="S795" s="5" t="n"/>
      <c r="V795" s="5" t="n"/>
      <c r="Z795" s="5" t="n"/>
    </row>
    <row r="796">
      <c r="D796" s="5" t="n"/>
      <c r="E796" s="5" t="n"/>
      <c r="F796" s="5" t="n"/>
      <c r="K796" s="5" t="n"/>
      <c r="S796" s="5" t="n"/>
      <c r="V796" s="5" t="n"/>
      <c r="Z796" s="5" t="n"/>
    </row>
    <row r="797">
      <c r="D797" s="5" t="n"/>
      <c r="E797" s="5" t="n"/>
      <c r="F797" s="5" t="n"/>
      <c r="K797" s="5" t="n"/>
      <c r="S797" s="5" t="n"/>
      <c r="V797" s="5" t="n"/>
      <c r="Z797" s="5" t="n"/>
    </row>
    <row r="798">
      <c r="D798" s="5" t="n"/>
      <c r="E798" s="5" t="n"/>
      <c r="F798" s="5" t="n"/>
      <c r="K798" s="5" t="n"/>
      <c r="S798" s="5" t="n"/>
      <c r="V798" s="5" t="n"/>
      <c r="Z798" s="5" t="n"/>
    </row>
    <row r="799">
      <c r="D799" s="5" t="n"/>
      <c r="E799" s="5" t="n"/>
      <c r="F799" s="5" t="n"/>
      <c r="K799" s="5" t="n"/>
      <c r="S799" s="5" t="n"/>
      <c r="V799" s="5" t="n"/>
      <c r="Z799" s="5" t="n"/>
    </row>
    <row r="800">
      <c r="D800" s="5" t="n"/>
      <c r="E800" s="5" t="n"/>
      <c r="F800" s="5" t="n"/>
      <c r="K800" s="5" t="n"/>
      <c r="S800" s="5" t="n"/>
      <c r="V800" s="5" t="n"/>
      <c r="Z800" s="5" t="n"/>
    </row>
    <row r="801">
      <c r="D801" s="5" t="n"/>
      <c r="E801" s="5" t="n"/>
      <c r="F801" s="5" t="n"/>
      <c r="K801" s="5" t="n"/>
      <c r="S801" s="5" t="n"/>
      <c r="V801" s="5" t="n"/>
      <c r="Z801" s="5" t="n"/>
    </row>
    <row r="802">
      <c r="D802" s="5" t="n"/>
      <c r="E802" s="5" t="n"/>
      <c r="F802" s="5" t="n"/>
      <c r="K802" s="5" t="n"/>
      <c r="S802" s="5" t="n"/>
      <c r="V802" s="5" t="n"/>
      <c r="Z802" s="5" t="n"/>
    </row>
    <row r="803">
      <c r="D803" s="5" t="n"/>
      <c r="E803" s="5" t="n"/>
      <c r="F803" s="5" t="n"/>
      <c r="K803" s="5" t="n"/>
      <c r="S803" s="5" t="n"/>
      <c r="V803" s="5" t="n"/>
      <c r="Z803" s="5" t="n"/>
    </row>
    <row r="804">
      <c r="D804" s="5" t="n"/>
      <c r="E804" s="5" t="n"/>
      <c r="F804" s="5" t="n"/>
      <c r="K804" s="5" t="n"/>
      <c r="S804" s="5" t="n"/>
      <c r="V804" s="5" t="n"/>
      <c r="Z804" s="5" t="n"/>
    </row>
    <row r="805">
      <c r="D805" s="5" t="n"/>
      <c r="E805" s="5" t="n"/>
      <c r="F805" s="5" t="n"/>
      <c r="K805" s="5" t="n"/>
      <c r="S805" s="5" t="n"/>
      <c r="V805" s="5" t="n"/>
      <c r="Z805" s="5" t="n"/>
    </row>
    <row r="806">
      <c r="D806" s="5" t="n"/>
      <c r="E806" s="5" t="n"/>
      <c r="F806" s="5" t="n"/>
      <c r="K806" s="5" t="n"/>
      <c r="S806" s="5" t="n"/>
      <c r="V806" s="5" t="n"/>
      <c r="Z806" s="5" t="n"/>
    </row>
    <row r="807">
      <c r="D807" s="5" t="n"/>
      <c r="E807" s="5" t="n"/>
      <c r="F807" s="5" t="n"/>
      <c r="K807" s="5" t="n"/>
      <c r="S807" s="5" t="n"/>
      <c r="V807" s="5" t="n"/>
      <c r="Z807" s="5" t="n"/>
    </row>
    <row r="808">
      <c r="D808" s="5" t="n"/>
      <c r="E808" s="5" t="n"/>
      <c r="F808" s="5" t="n"/>
      <c r="K808" s="5" t="n"/>
      <c r="S808" s="5" t="n"/>
      <c r="V808" s="5" t="n"/>
      <c r="Z808" s="5" t="n"/>
    </row>
    <row r="809">
      <c r="D809" s="5" t="n"/>
      <c r="E809" s="5" t="n"/>
      <c r="F809" s="5" t="n"/>
      <c r="K809" s="5" t="n"/>
      <c r="S809" s="5" t="n"/>
      <c r="V809" s="5" t="n"/>
      <c r="Z809" s="5" t="n"/>
    </row>
    <row r="810">
      <c r="D810" s="5" t="n"/>
      <c r="E810" s="5" t="n"/>
      <c r="F810" s="5" t="n"/>
      <c r="K810" s="5" t="n"/>
      <c r="S810" s="5" t="n"/>
      <c r="V810" s="5" t="n"/>
      <c r="Z810" s="5" t="n"/>
    </row>
    <row r="811">
      <c r="D811" s="5" t="n"/>
      <c r="E811" s="5" t="n"/>
      <c r="F811" s="5" t="n"/>
      <c r="K811" s="5" t="n"/>
      <c r="S811" s="5" t="n"/>
      <c r="V811" s="5" t="n"/>
      <c r="Z811" s="5" t="n"/>
    </row>
    <row r="812">
      <c r="D812" s="5" t="n"/>
      <c r="E812" s="5" t="n"/>
      <c r="F812" s="5" t="n"/>
      <c r="K812" s="5" t="n"/>
      <c r="S812" s="5" t="n"/>
      <c r="V812" s="5" t="n"/>
      <c r="Z812" s="5" t="n"/>
    </row>
    <row r="813">
      <c r="D813" s="5" t="n"/>
      <c r="E813" s="5" t="n"/>
      <c r="F813" s="5" t="n"/>
      <c r="K813" s="5" t="n"/>
      <c r="S813" s="5" t="n"/>
      <c r="V813" s="5" t="n"/>
      <c r="Z813" s="5" t="n"/>
    </row>
    <row r="814">
      <c r="D814" s="5" t="n"/>
      <c r="E814" s="5" t="n"/>
      <c r="F814" s="5" t="n"/>
      <c r="K814" s="5" t="n"/>
      <c r="S814" s="5" t="n"/>
      <c r="V814" s="5" t="n"/>
      <c r="Z814" s="5" t="n"/>
    </row>
    <row r="815">
      <c r="D815" s="5" t="n"/>
      <c r="E815" s="5" t="n"/>
      <c r="F815" s="5" t="n"/>
      <c r="K815" s="5" t="n"/>
      <c r="S815" s="5" t="n"/>
      <c r="V815" s="5" t="n"/>
      <c r="Z815" s="5" t="n"/>
    </row>
    <row r="816">
      <c r="D816" s="5" t="n"/>
      <c r="E816" s="5" t="n"/>
      <c r="F816" s="5" t="n"/>
      <c r="K816" s="5" t="n"/>
      <c r="S816" s="5" t="n"/>
      <c r="V816" s="5" t="n"/>
      <c r="Z816" s="5" t="n"/>
    </row>
    <row r="817">
      <c r="D817" s="5" t="n"/>
      <c r="E817" s="5" t="n"/>
      <c r="F817" s="5" t="n"/>
      <c r="K817" s="5" t="n"/>
      <c r="S817" s="5" t="n"/>
      <c r="V817" s="5" t="n"/>
      <c r="Z817" s="5" t="n"/>
    </row>
    <row r="818">
      <c r="D818" s="5" t="n"/>
      <c r="E818" s="5" t="n"/>
      <c r="F818" s="5" t="n"/>
      <c r="K818" s="5" t="n"/>
      <c r="S818" s="5" t="n"/>
      <c r="V818" s="5" t="n"/>
      <c r="Z818" s="5" t="n"/>
    </row>
    <row r="819">
      <c r="D819" s="5" t="n"/>
      <c r="E819" s="5" t="n"/>
      <c r="F819" s="5" t="n"/>
      <c r="K819" s="5" t="n"/>
      <c r="S819" s="5" t="n"/>
      <c r="V819" s="5" t="n"/>
      <c r="Z819" s="5" t="n"/>
    </row>
    <row r="820">
      <c r="D820" s="5" t="n"/>
      <c r="E820" s="5" t="n"/>
      <c r="F820" s="5" t="n"/>
      <c r="K820" s="5" t="n"/>
      <c r="S820" s="5" t="n"/>
      <c r="V820" s="5" t="n"/>
      <c r="Z820" s="5" t="n"/>
    </row>
    <row r="821">
      <c r="D821" s="5" t="n"/>
      <c r="E821" s="5" t="n"/>
      <c r="F821" s="5" t="n"/>
      <c r="K821" s="5" t="n"/>
      <c r="S821" s="5" t="n"/>
      <c r="V821" s="5" t="n"/>
      <c r="Z821" s="5" t="n"/>
    </row>
    <row r="822">
      <c r="D822" s="5" t="n"/>
      <c r="E822" s="5" t="n"/>
      <c r="F822" s="5" t="n"/>
      <c r="K822" s="5" t="n"/>
      <c r="S822" s="5" t="n"/>
      <c r="V822" s="5" t="n"/>
      <c r="Z822" s="5" t="n"/>
    </row>
    <row r="823">
      <c r="D823" s="5" t="n"/>
      <c r="E823" s="5" t="n"/>
      <c r="F823" s="5" t="n"/>
      <c r="K823" s="5" t="n"/>
      <c r="S823" s="5" t="n"/>
      <c r="V823" s="5" t="n"/>
      <c r="Z823" s="5" t="n"/>
    </row>
    <row r="824">
      <c r="D824" s="5" t="n"/>
      <c r="E824" s="5" t="n"/>
      <c r="F824" s="5" t="n"/>
      <c r="K824" s="5" t="n"/>
      <c r="S824" s="5" t="n"/>
      <c r="V824" s="5" t="n"/>
      <c r="Z824" s="5" t="n"/>
    </row>
    <row r="825">
      <c r="D825" s="5" t="n"/>
      <c r="E825" s="5" t="n"/>
      <c r="F825" s="5" t="n"/>
      <c r="K825" s="5" t="n"/>
      <c r="S825" s="5" t="n"/>
      <c r="V825" s="5" t="n"/>
      <c r="Z825" s="5" t="n"/>
    </row>
    <row r="826">
      <c r="D826" s="5" t="n"/>
      <c r="E826" s="5" t="n"/>
      <c r="F826" s="5" t="n"/>
      <c r="K826" s="5" t="n"/>
      <c r="S826" s="5" t="n"/>
      <c r="V826" s="5" t="n"/>
      <c r="Z826" s="5" t="n"/>
    </row>
    <row r="827">
      <c r="D827" s="5" t="n"/>
      <c r="E827" s="5" t="n"/>
      <c r="F827" s="5" t="n"/>
      <c r="K827" s="5" t="n"/>
      <c r="S827" s="5" t="n"/>
      <c r="V827" s="5" t="n"/>
      <c r="Z827" s="5" t="n"/>
    </row>
    <row r="828">
      <c r="D828" s="5" t="n"/>
      <c r="E828" s="5" t="n"/>
      <c r="F828" s="5" t="n"/>
      <c r="K828" s="5" t="n"/>
      <c r="S828" s="5" t="n"/>
      <c r="V828" s="5" t="n"/>
      <c r="Z828" s="5" t="n"/>
    </row>
    <row r="829">
      <c r="D829" s="5" t="n"/>
      <c r="E829" s="5" t="n"/>
      <c r="F829" s="5" t="n"/>
      <c r="K829" s="5" t="n"/>
      <c r="S829" s="5" t="n"/>
      <c r="V829" s="5" t="n"/>
      <c r="Z829" s="5" t="n"/>
    </row>
    <row r="830">
      <c r="D830" s="5" t="n"/>
      <c r="E830" s="5" t="n"/>
      <c r="F830" s="5" t="n"/>
      <c r="K830" s="5" t="n"/>
      <c r="S830" s="5" t="n"/>
      <c r="V830" s="5" t="n"/>
      <c r="Z830" s="5" t="n"/>
    </row>
    <row r="831">
      <c r="D831" s="5" t="n"/>
      <c r="E831" s="5" t="n"/>
      <c r="F831" s="5" t="n"/>
      <c r="K831" s="5" t="n"/>
      <c r="S831" s="5" t="n"/>
      <c r="V831" s="5" t="n"/>
      <c r="Z831" s="5" t="n"/>
    </row>
    <row r="832">
      <c r="D832" s="5" t="n"/>
      <c r="E832" s="5" t="n"/>
      <c r="F832" s="5" t="n"/>
      <c r="K832" s="5" t="n"/>
      <c r="S832" s="5" t="n"/>
      <c r="V832" s="5" t="n"/>
      <c r="Z832" s="5" t="n"/>
    </row>
    <row r="833">
      <c r="D833" s="5" t="n"/>
      <c r="E833" s="5" t="n"/>
      <c r="F833" s="5" t="n"/>
      <c r="K833" s="5" t="n"/>
      <c r="S833" s="5" t="n"/>
      <c r="V833" s="5" t="n"/>
      <c r="Z833" s="5" t="n"/>
    </row>
    <row r="834">
      <c r="D834" s="5" t="n"/>
      <c r="E834" s="5" t="n"/>
      <c r="F834" s="5" t="n"/>
      <c r="K834" s="5" t="n"/>
      <c r="S834" s="5" t="n"/>
      <c r="V834" s="5" t="n"/>
      <c r="Z834" s="5" t="n"/>
    </row>
    <row r="835">
      <c r="D835" s="5" t="n"/>
      <c r="E835" s="5" t="n"/>
      <c r="F835" s="5" t="n"/>
      <c r="K835" s="5" t="n"/>
      <c r="S835" s="5" t="n"/>
      <c r="V835" s="5" t="n"/>
      <c r="Z835" s="5" t="n"/>
    </row>
    <row r="836">
      <c r="D836" s="5" t="n"/>
      <c r="E836" s="5" t="n"/>
      <c r="F836" s="5" t="n"/>
      <c r="K836" s="5" t="n"/>
      <c r="S836" s="5" t="n"/>
      <c r="V836" s="5" t="n"/>
      <c r="Z836" s="5" t="n"/>
    </row>
    <row r="837">
      <c r="D837" s="5" t="n"/>
      <c r="E837" s="5" t="n"/>
      <c r="F837" s="5" t="n"/>
      <c r="K837" s="5" t="n"/>
      <c r="S837" s="5" t="n"/>
      <c r="V837" s="5" t="n"/>
      <c r="Z837" s="5" t="n"/>
    </row>
    <row r="838">
      <c r="D838" s="5" t="n"/>
      <c r="E838" s="5" t="n"/>
      <c r="F838" s="5" t="n"/>
      <c r="K838" s="5" t="n"/>
      <c r="S838" s="5" t="n"/>
      <c r="V838" s="5" t="n"/>
      <c r="Z838" s="5" t="n"/>
    </row>
    <row r="839">
      <c r="D839" s="5" t="n"/>
      <c r="E839" s="5" t="n"/>
      <c r="F839" s="5" t="n"/>
      <c r="K839" s="5" t="n"/>
      <c r="S839" s="5" t="n"/>
      <c r="V839" s="5" t="n"/>
      <c r="Z839" s="5" t="n"/>
    </row>
    <row r="840">
      <c r="D840" s="5" t="n"/>
      <c r="E840" s="5" t="n"/>
      <c r="F840" s="5" t="n"/>
      <c r="K840" s="5" t="n"/>
      <c r="S840" s="5" t="n"/>
      <c r="V840" s="5" t="n"/>
      <c r="Z840" s="5" t="n"/>
    </row>
    <row r="841">
      <c r="D841" s="5" t="n"/>
      <c r="E841" s="5" t="n"/>
      <c r="F841" s="5" t="n"/>
      <c r="K841" s="5" t="n"/>
      <c r="S841" s="5" t="n"/>
      <c r="V841" s="5" t="n"/>
      <c r="Z841" s="5" t="n"/>
    </row>
    <row r="842">
      <c r="D842" s="5" t="n"/>
      <c r="E842" s="5" t="n"/>
      <c r="F842" s="5" t="n"/>
      <c r="K842" s="5" t="n"/>
      <c r="S842" s="5" t="n"/>
      <c r="V842" s="5" t="n"/>
      <c r="Z842" s="5" t="n"/>
    </row>
    <row r="843">
      <c r="D843" s="5" t="n"/>
      <c r="E843" s="5" t="n"/>
      <c r="F843" s="5" t="n"/>
      <c r="K843" s="5" t="n"/>
      <c r="S843" s="5" t="n"/>
      <c r="V843" s="5" t="n"/>
      <c r="Z843" s="5" t="n"/>
    </row>
    <row r="844">
      <c r="D844" s="5" t="n"/>
      <c r="E844" s="5" t="n"/>
      <c r="F844" s="5" t="n"/>
      <c r="K844" s="5" t="n"/>
      <c r="S844" s="5" t="n"/>
      <c r="V844" s="5" t="n"/>
      <c r="Z844" s="5" t="n"/>
    </row>
    <row r="845">
      <c r="D845" s="5" t="n"/>
      <c r="E845" s="5" t="n"/>
      <c r="F845" s="5" t="n"/>
      <c r="K845" s="5" t="n"/>
      <c r="S845" s="5" t="n"/>
      <c r="V845" s="5" t="n"/>
      <c r="Z845" s="5" t="n"/>
    </row>
    <row r="846">
      <c r="D846" s="5" t="n"/>
      <c r="E846" s="5" t="n"/>
      <c r="F846" s="5" t="n"/>
      <c r="K846" s="5" t="n"/>
      <c r="S846" s="5" t="n"/>
      <c r="V846" s="5" t="n"/>
      <c r="Z846" s="5" t="n"/>
    </row>
    <row r="847">
      <c r="D847" s="5" t="n"/>
      <c r="E847" s="5" t="n"/>
      <c r="F847" s="5" t="n"/>
      <c r="K847" s="5" t="n"/>
      <c r="S847" s="5" t="n"/>
      <c r="V847" s="5" t="n"/>
      <c r="Z847" s="5" t="n"/>
    </row>
    <row r="848">
      <c r="D848" s="5" t="n"/>
      <c r="E848" s="5" t="n"/>
      <c r="F848" s="5" t="n"/>
      <c r="K848" s="5" t="n"/>
      <c r="S848" s="5" t="n"/>
      <c r="V848" s="5" t="n"/>
      <c r="Z848" s="5" t="n"/>
    </row>
    <row r="849">
      <c r="D849" s="5" t="n"/>
      <c r="E849" s="5" t="n"/>
      <c r="F849" s="5" t="n"/>
      <c r="K849" s="5" t="n"/>
      <c r="S849" s="5" t="n"/>
      <c r="V849" s="5" t="n"/>
      <c r="Z849" s="5" t="n"/>
    </row>
    <row r="850">
      <c r="D850" s="5" t="n"/>
      <c r="E850" s="5" t="n"/>
      <c r="F850" s="5" t="n"/>
      <c r="K850" s="5" t="n"/>
      <c r="S850" s="5" t="n"/>
      <c r="V850" s="5" t="n"/>
      <c r="Z850" s="5" t="n"/>
    </row>
    <row r="851">
      <c r="D851" s="5" t="n"/>
      <c r="E851" s="5" t="n"/>
      <c r="F851" s="5" t="n"/>
      <c r="K851" s="5" t="n"/>
      <c r="S851" s="5" t="n"/>
      <c r="V851" s="5" t="n"/>
      <c r="Z851" s="5" t="n"/>
    </row>
    <row r="852">
      <c r="D852" s="5" t="n"/>
      <c r="E852" s="5" t="n"/>
      <c r="F852" s="5" t="n"/>
      <c r="K852" s="5" t="n"/>
      <c r="S852" s="5" t="n"/>
      <c r="V852" s="5" t="n"/>
      <c r="Z852" s="5" t="n"/>
    </row>
    <row r="853">
      <c r="D853" s="5" t="n"/>
      <c r="E853" s="5" t="n"/>
      <c r="F853" s="5" t="n"/>
      <c r="K853" s="5" t="n"/>
      <c r="S853" s="5" t="n"/>
      <c r="V853" s="5" t="n"/>
      <c r="Z853" s="5" t="n"/>
    </row>
    <row r="854">
      <c r="D854" s="5" t="n"/>
      <c r="E854" s="5" t="n"/>
      <c r="F854" s="5" t="n"/>
      <c r="K854" s="5" t="n"/>
      <c r="S854" s="5" t="n"/>
      <c r="V854" s="5" t="n"/>
      <c r="Z854" s="5" t="n"/>
    </row>
    <row r="855">
      <c r="D855" s="5" t="n"/>
      <c r="E855" s="5" t="n"/>
      <c r="F855" s="5" t="n"/>
      <c r="K855" s="5" t="n"/>
      <c r="S855" s="5" t="n"/>
      <c r="V855" s="5" t="n"/>
      <c r="Z855" s="5" t="n"/>
    </row>
    <row r="856">
      <c r="D856" s="5" t="n"/>
      <c r="E856" s="5" t="n"/>
      <c r="F856" s="5" t="n"/>
      <c r="K856" s="5" t="n"/>
      <c r="S856" s="5" t="n"/>
      <c r="V856" s="5" t="n"/>
      <c r="Z856" s="5" t="n"/>
    </row>
    <row r="857">
      <c r="D857" s="5" t="n"/>
      <c r="E857" s="5" t="n"/>
      <c r="F857" s="5" t="n"/>
      <c r="K857" s="5" t="n"/>
      <c r="S857" s="5" t="n"/>
      <c r="V857" s="5" t="n"/>
      <c r="Z857" s="5" t="n"/>
    </row>
    <row r="858">
      <c r="D858" s="5" t="n"/>
      <c r="E858" s="5" t="n"/>
      <c r="F858" s="5" t="n"/>
      <c r="K858" s="5" t="n"/>
      <c r="S858" s="5" t="n"/>
      <c r="V858" s="5" t="n"/>
      <c r="Z858" s="5" t="n"/>
    </row>
    <row r="859">
      <c r="D859" s="5" t="n"/>
      <c r="E859" s="5" t="n"/>
      <c r="F859" s="5" t="n"/>
      <c r="K859" s="5" t="n"/>
      <c r="S859" s="5" t="n"/>
      <c r="V859" s="5" t="n"/>
      <c r="Z859" s="5" t="n"/>
    </row>
    <row r="860">
      <c r="D860" s="5" t="n"/>
      <c r="E860" s="5" t="n"/>
      <c r="F860" s="5" t="n"/>
      <c r="K860" s="5" t="n"/>
      <c r="S860" s="5" t="n"/>
      <c r="V860" s="5" t="n"/>
      <c r="Z860" s="5" t="n"/>
    </row>
    <row r="861">
      <c r="D861" s="5" t="n"/>
      <c r="E861" s="5" t="n"/>
      <c r="F861" s="5" t="n"/>
      <c r="K861" s="5" t="n"/>
      <c r="S861" s="5" t="n"/>
      <c r="V861" s="5" t="n"/>
      <c r="Z861" s="5" t="n"/>
    </row>
    <row r="862">
      <c r="D862" s="5" t="n"/>
      <c r="E862" s="5" t="n"/>
      <c r="F862" s="5" t="n"/>
      <c r="K862" s="5" t="n"/>
      <c r="S862" s="5" t="n"/>
      <c r="V862" s="5" t="n"/>
      <c r="Z862" s="5" t="n"/>
    </row>
    <row r="863">
      <c r="D863" s="5" t="n"/>
      <c r="E863" s="5" t="n"/>
      <c r="F863" s="5" t="n"/>
      <c r="K863" s="5" t="n"/>
      <c r="S863" s="5" t="n"/>
      <c r="V863" s="5" t="n"/>
      <c r="Z863" s="5" t="n"/>
    </row>
    <row r="864">
      <c r="D864" s="5" t="n"/>
      <c r="E864" s="5" t="n"/>
      <c r="F864" s="5" t="n"/>
      <c r="K864" s="5" t="n"/>
      <c r="S864" s="5" t="n"/>
      <c r="V864" s="5" t="n"/>
      <c r="Z864" s="5" t="n"/>
    </row>
    <row r="865">
      <c r="D865" s="5" t="n"/>
      <c r="E865" s="5" t="n"/>
      <c r="F865" s="5" t="n"/>
      <c r="K865" s="5" t="n"/>
      <c r="S865" s="5" t="n"/>
      <c r="V865" s="5" t="n"/>
      <c r="Z865" s="5" t="n"/>
    </row>
    <row r="866">
      <c r="D866" s="5" t="n"/>
      <c r="E866" s="5" t="n"/>
      <c r="F866" s="5" t="n"/>
      <c r="K866" s="5" t="n"/>
      <c r="S866" s="5" t="n"/>
      <c r="V866" s="5" t="n"/>
      <c r="Z866" s="5" t="n"/>
    </row>
    <row r="867">
      <c r="D867" s="5" t="n"/>
      <c r="E867" s="5" t="n"/>
      <c r="F867" s="5" t="n"/>
      <c r="K867" s="5" t="n"/>
      <c r="S867" s="5" t="n"/>
      <c r="V867" s="5" t="n"/>
      <c r="Z867" s="5" t="n"/>
    </row>
    <row r="868">
      <c r="D868" s="5" t="n"/>
      <c r="E868" s="5" t="n"/>
      <c r="F868" s="5" t="n"/>
      <c r="K868" s="5" t="n"/>
      <c r="S868" s="5" t="n"/>
      <c r="V868" s="5" t="n"/>
      <c r="Z868" s="5" t="n"/>
    </row>
    <row r="869">
      <c r="D869" s="5" t="n"/>
      <c r="E869" s="5" t="n"/>
      <c r="F869" s="5" t="n"/>
      <c r="K869" s="5" t="n"/>
      <c r="S869" s="5" t="n"/>
      <c r="V869" s="5" t="n"/>
      <c r="Z869" s="5" t="n"/>
    </row>
    <row r="870">
      <c r="D870" s="5" t="n"/>
      <c r="E870" s="5" t="n"/>
      <c r="F870" s="5" t="n"/>
      <c r="K870" s="5" t="n"/>
      <c r="S870" s="5" t="n"/>
      <c r="V870" s="5" t="n"/>
      <c r="Z870" s="5" t="n"/>
    </row>
    <row r="871">
      <c r="D871" s="5" t="n"/>
      <c r="E871" s="5" t="n"/>
      <c r="F871" s="5" t="n"/>
      <c r="K871" s="5" t="n"/>
      <c r="S871" s="5" t="n"/>
      <c r="V871" s="5" t="n"/>
      <c r="Z871" s="5" t="n"/>
    </row>
    <row r="872">
      <c r="D872" s="5" t="n"/>
      <c r="E872" s="5" t="n"/>
      <c r="F872" s="5" t="n"/>
      <c r="K872" s="5" t="n"/>
      <c r="S872" s="5" t="n"/>
      <c r="V872" s="5" t="n"/>
      <c r="Z872" s="5" t="n"/>
    </row>
    <row r="873">
      <c r="D873" s="5" t="n"/>
      <c r="E873" s="5" t="n"/>
      <c r="F873" s="5" t="n"/>
      <c r="K873" s="5" t="n"/>
      <c r="S873" s="5" t="n"/>
      <c r="V873" s="5" t="n"/>
      <c r="Z873" s="5" t="n"/>
    </row>
    <row r="874">
      <c r="D874" s="5" t="n"/>
      <c r="E874" s="5" t="n"/>
      <c r="F874" s="5" t="n"/>
      <c r="K874" s="5" t="n"/>
      <c r="S874" s="5" t="n"/>
      <c r="V874" s="5" t="n"/>
      <c r="Z874" s="5" t="n"/>
    </row>
    <row r="875">
      <c r="D875" s="5" t="n"/>
      <c r="E875" s="5" t="n"/>
      <c r="F875" s="5" t="n"/>
      <c r="K875" s="5" t="n"/>
      <c r="S875" s="5" t="n"/>
      <c r="V875" s="5" t="n"/>
      <c r="Z875" s="5" t="n"/>
    </row>
    <row r="876">
      <c r="D876" s="5" t="n"/>
      <c r="E876" s="5" t="n"/>
      <c r="F876" s="5" t="n"/>
      <c r="K876" s="5" t="n"/>
      <c r="S876" s="5" t="n"/>
      <c r="V876" s="5" t="n"/>
      <c r="Z876" s="5" t="n"/>
    </row>
    <row r="877">
      <c r="D877" s="5" t="n"/>
      <c r="E877" s="5" t="n"/>
      <c r="F877" s="5" t="n"/>
      <c r="K877" s="5" t="n"/>
      <c r="S877" s="5" t="n"/>
      <c r="V877" s="5" t="n"/>
      <c r="Z877" s="5" t="n"/>
    </row>
    <row r="878">
      <c r="D878" s="5" t="n"/>
      <c r="E878" s="5" t="n"/>
      <c r="F878" s="5" t="n"/>
      <c r="K878" s="5" t="n"/>
      <c r="S878" s="5" t="n"/>
      <c r="V878" s="5" t="n"/>
      <c r="Z878" s="5" t="n"/>
    </row>
    <row r="879">
      <c r="D879" s="5" t="n"/>
      <c r="E879" s="5" t="n"/>
      <c r="F879" s="5" t="n"/>
      <c r="K879" s="5" t="n"/>
      <c r="S879" s="5" t="n"/>
      <c r="V879" s="5" t="n"/>
      <c r="Z879" s="5" t="n"/>
    </row>
    <row r="880">
      <c r="D880" s="5" t="n"/>
      <c r="E880" s="5" t="n"/>
      <c r="F880" s="5" t="n"/>
      <c r="K880" s="5" t="n"/>
      <c r="S880" s="5" t="n"/>
      <c r="V880" s="5" t="n"/>
      <c r="Z880" s="5" t="n"/>
    </row>
    <row r="881">
      <c r="D881" s="5" t="n"/>
      <c r="E881" s="5" t="n"/>
      <c r="F881" s="5" t="n"/>
      <c r="K881" s="5" t="n"/>
      <c r="S881" s="5" t="n"/>
      <c r="V881" s="5" t="n"/>
      <c r="Z881" s="5" t="n"/>
    </row>
    <row r="882">
      <c r="D882" s="5" t="n"/>
      <c r="E882" s="5" t="n"/>
      <c r="F882" s="5" t="n"/>
      <c r="K882" s="5" t="n"/>
      <c r="S882" s="5" t="n"/>
      <c r="V882" s="5" t="n"/>
      <c r="Z882" s="5" t="n"/>
    </row>
    <row r="883">
      <c r="D883" s="5" t="n"/>
      <c r="E883" s="5" t="n"/>
      <c r="F883" s="5" t="n"/>
      <c r="K883" s="5" t="n"/>
      <c r="S883" s="5" t="n"/>
      <c r="V883" s="5" t="n"/>
      <c r="Z883" s="5" t="n"/>
    </row>
    <row r="884">
      <c r="D884" s="5" t="n"/>
      <c r="E884" s="5" t="n"/>
      <c r="F884" s="5" t="n"/>
      <c r="K884" s="5" t="n"/>
      <c r="S884" s="5" t="n"/>
      <c r="V884" s="5" t="n"/>
      <c r="Z884" s="5" t="n"/>
    </row>
    <row r="885">
      <c r="D885" s="5" t="n"/>
      <c r="E885" s="5" t="n"/>
      <c r="F885" s="5" t="n"/>
      <c r="K885" s="5" t="n"/>
      <c r="S885" s="5" t="n"/>
      <c r="V885" s="5" t="n"/>
      <c r="Z885" s="5" t="n"/>
    </row>
    <row r="886">
      <c r="D886" s="5" t="n"/>
      <c r="E886" s="5" t="n"/>
      <c r="F886" s="5" t="n"/>
      <c r="K886" s="5" t="n"/>
      <c r="S886" s="5" t="n"/>
      <c r="V886" s="5" t="n"/>
      <c r="Z886" s="5" t="n"/>
    </row>
    <row r="887">
      <c r="D887" s="5" t="n"/>
      <c r="E887" s="5" t="n"/>
      <c r="F887" s="5" t="n"/>
      <c r="K887" s="5" t="n"/>
      <c r="S887" s="5" t="n"/>
      <c r="V887" s="5" t="n"/>
      <c r="Z887" s="5" t="n"/>
    </row>
    <row r="888">
      <c r="D888" s="5" t="n"/>
      <c r="E888" s="5" t="n"/>
      <c r="F888" s="5" t="n"/>
      <c r="K888" s="5" t="n"/>
      <c r="S888" s="5" t="n"/>
      <c r="V888" s="5" t="n"/>
      <c r="Z888" s="5" t="n"/>
    </row>
    <row r="889">
      <c r="D889" s="5" t="n"/>
      <c r="E889" s="5" t="n"/>
      <c r="F889" s="5" t="n"/>
      <c r="K889" s="5" t="n"/>
      <c r="S889" s="5" t="n"/>
      <c r="V889" s="5" t="n"/>
      <c r="Z889" s="5" t="n"/>
    </row>
    <row r="890">
      <c r="D890" s="5" t="n"/>
      <c r="E890" s="5" t="n"/>
      <c r="F890" s="5" t="n"/>
      <c r="K890" s="5" t="n"/>
      <c r="S890" s="5" t="n"/>
      <c r="V890" s="5" t="n"/>
      <c r="Z890" s="5" t="n"/>
    </row>
    <row r="891">
      <c r="D891" s="5" t="n"/>
      <c r="E891" s="5" t="n"/>
      <c r="F891" s="5" t="n"/>
      <c r="K891" s="5" t="n"/>
      <c r="S891" s="5" t="n"/>
      <c r="V891" s="5" t="n"/>
      <c r="Z891" s="5" t="n"/>
    </row>
    <row r="892">
      <c r="D892" s="5" t="n"/>
      <c r="E892" s="5" t="n"/>
      <c r="F892" s="5" t="n"/>
      <c r="K892" s="5" t="n"/>
      <c r="S892" s="5" t="n"/>
      <c r="V892" s="5" t="n"/>
      <c r="Z892" s="5" t="n"/>
    </row>
    <row r="893">
      <c r="D893" s="5" t="n"/>
      <c r="E893" s="5" t="n"/>
      <c r="F893" s="5" t="n"/>
      <c r="K893" s="5" t="n"/>
      <c r="S893" s="5" t="n"/>
      <c r="V893" s="5" t="n"/>
      <c r="Z893" s="5" t="n"/>
    </row>
    <row r="894">
      <c r="D894" s="5" t="n"/>
      <c r="E894" s="5" t="n"/>
      <c r="F894" s="5" t="n"/>
      <c r="K894" s="5" t="n"/>
      <c r="S894" s="5" t="n"/>
      <c r="V894" s="5" t="n"/>
      <c r="Z894" s="5" t="n"/>
    </row>
    <row r="895">
      <c r="D895" s="5" t="n"/>
      <c r="E895" s="5" t="n"/>
      <c r="F895" s="5" t="n"/>
      <c r="K895" s="5" t="n"/>
      <c r="S895" s="5" t="n"/>
      <c r="V895" s="5" t="n"/>
      <c r="Z895" s="5" t="n"/>
    </row>
    <row r="896">
      <c r="D896" s="5" t="n"/>
      <c r="E896" s="5" t="n"/>
      <c r="F896" s="5" t="n"/>
      <c r="K896" s="5" t="n"/>
      <c r="S896" s="5" t="n"/>
      <c r="V896" s="5" t="n"/>
      <c r="Z896" s="5" t="n"/>
    </row>
    <row r="897">
      <c r="D897" s="5" t="n"/>
      <c r="E897" s="5" t="n"/>
      <c r="F897" s="5" t="n"/>
      <c r="K897" s="5" t="n"/>
      <c r="S897" s="5" t="n"/>
      <c r="V897" s="5" t="n"/>
      <c r="Z897" s="5" t="n"/>
    </row>
    <row r="898">
      <c r="D898" s="5" t="n"/>
      <c r="E898" s="5" t="n"/>
      <c r="F898" s="5" t="n"/>
      <c r="K898" s="5" t="n"/>
      <c r="S898" s="5" t="n"/>
      <c r="V898" s="5" t="n"/>
      <c r="Z898" s="5" t="n"/>
    </row>
    <row r="899">
      <c r="D899" s="5" t="n"/>
      <c r="E899" s="5" t="n"/>
      <c r="F899" s="5" t="n"/>
      <c r="K899" s="5" t="n"/>
      <c r="S899" s="5" t="n"/>
      <c r="V899" s="5" t="n"/>
      <c r="Z899" s="5" t="n"/>
    </row>
    <row r="900">
      <c r="D900" s="5" t="n"/>
      <c r="E900" s="5" t="n"/>
      <c r="F900" s="5" t="n"/>
      <c r="K900" s="5" t="n"/>
      <c r="S900" s="5" t="n"/>
      <c r="V900" s="5" t="n"/>
      <c r="Z900" s="5" t="n"/>
    </row>
    <row r="901">
      <c r="D901" s="5" t="n"/>
      <c r="E901" s="5" t="n"/>
      <c r="F901" s="5" t="n"/>
      <c r="K901" s="5" t="n"/>
      <c r="S901" s="5" t="n"/>
      <c r="V901" s="5" t="n"/>
      <c r="Z901" s="5" t="n"/>
    </row>
    <row r="902">
      <c r="D902" s="5" t="n"/>
      <c r="E902" s="5" t="n"/>
      <c r="F902" s="5" t="n"/>
      <c r="K902" s="5" t="n"/>
      <c r="S902" s="5" t="n"/>
      <c r="V902" s="5" t="n"/>
      <c r="Z902" s="5" t="n"/>
    </row>
    <row r="903">
      <c r="D903" s="5" t="n"/>
      <c r="E903" s="5" t="n"/>
      <c r="F903" s="5" t="n"/>
      <c r="K903" s="5" t="n"/>
      <c r="S903" s="5" t="n"/>
      <c r="V903" s="5" t="n"/>
      <c r="Z903" s="5" t="n"/>
    </row>
    <row r="904">
      <c r="D904" s="5" t="n"/>
      <c r="E904" s="5" t="n"/>
      <c r="F904" s="5" t="n"/>
      <c r="K904" s="5" t="n"/>
      <c r="S904" s="5" t="n"/>
      <c r="V904" s="5" t="n"/>
      <c r="Z904" s="5" t="n"/>
    </row>
    <row r="905">
      <c r="D905" s="5" t="n"/>
      <c r="E905" s="5" t="n"/>
      <c r="F905" s="5" t="n"/>
      <c r="K905" s="5" t="n"/>
      <c r="S905" s="5" t="n"/>
      <c r="V905" s="5" t="n"/>
      <c r="Z905" s="5" t="n"/>
    </row>
    <row r="906">
      <c r="D906" s="5" t="n"/>
      <c r="E906" s="5" t="n"/>
      <c r="F906" s="5" t="n"/>
      <c r="K906" s="5" t="n"/>
      <c r="S906" s="5" t="n"/>
      <c r="V906" s="5" t="n"/>
      <c r="Z906" s="5" t="n"/>
    </row>
    <row r="907">
      <c r="D907" s="5" t="n"/>
      <c r="E907" s="5" t="n"/>
      <c r="F907" s="5" t="n"/>
      <c r="K907" s="5" t="n"/>
      <c r="S907" s="5" t="n"/>
      <c r="V907" s="5" t="n"/>
      <c r="Z907" s="5" t="n"/>
    </row>
    <row r="908">
      <c r="D908" s="5" t="n"/>
      <c r="E908" s="5" t="n"/>
      <c r="F908" s="5" t="n"/>
      <c r="K908" s="5" t="n"/>
      <c r="S908" s="5" t="n"/>
      <c r="V908" s="5" t="n"/>
      <c r="Z908" s="5" t="n"/>
    </row>
    <row r="909">
      <c r="D909" s="5" t="n"/>
      <c r="E909" s="5" t="n"/>
      <c r="F909" s="5" t="n"/>
      <c r="K909" s="5" t="n"/>
      <c r="S909" s="5" t="n"/>
      <c r="V909" s="5" t="n"/>
      <c r="Z909" s="5" t="n"/>
    </row>
    <row r="910">
      <c r="D910" s="5" t="n"/>
      <c r="E910" s="5" t="n"/>
      <c r="F910" s="5" t="n"/>
      <c r="K910" s="5" t="n"/>
      <c r="S910" s="5" t="n"/>
      <c r="V910" s="5" t="n"/>
      <c r="Z910" s="5" t="n"/>
    </row>
    <row r="911">
      <c r="D911" s="5" t="n"/>
      <c r="E911" s="5" t="n"/>
      <c r="F911" s="5" t="n"/>
      <c r="K911" s="5" t="n"/>
      <c r="S911" s="5" t="n"/>
      <c r="V911" s="5" t="n"/>
      <c r="Z911" s="5" t="n"/>
    </row>
    <row r="912">
      <c r="D912" s="5" t="n"/>
      <c r="E912" s="5" t="n"/>
      <c r="F912" s="5" t="n"/>
      <c r="K912" s="5" t="n"/>
      <c r="S912" s="5" t="n"/>
      <c r="V912" s="5" t="n"/>
      <c r="Z912" s="5" t="n"/>
    </row>
    <row r="913">
      <c r="D913" s="5" t="n"/>
      <c r="E913" s="5" t="n"/>
      <c r="F913" s="5" t="n"/>
      <c r="K913" s="5" t="n"/>
      <c r="S913" s="5" t="n"/>
      <c r="V913" s="5" t="n"/>
      <c r="Z913" s="5" t="n"/>
    </row>
    <row r="914">
      <c r="D914" s="5" t="n"/>
      <c r="E914" s="5" t="n"/>
      <c r="F914" s="5" t="n"/>
      <c r="K914" s="5" t="n"/>
      <c r="S914" s="5" t="n"/>
      <c r="V914" s="5" t="n"/>
      <c r="Z914" s="5" t="n"/>
    </row>
    <row r="915">
      <c r="D915" s="5" t="n"/>
      <c r="E915" s="5" t="n"/>
      <c r="F915" s="5" t="n"/>
      <c r="K915" s="5" t="n"/>
      <c r="S915" s="5" t="n"/>
      <c r="V915" s="5" t="n"/>
      <c r="Z915" s="5" t="n"/>
    </row>
    <row r="916">
      <c r="D916" s="5" t="n"/>
      <c r="E916" s="5" t="n"/>
      <c r="F916" s="5" t="n"/>
      <c r="K916" s="5" t="n"/>
      <c r="S916" s="5" t="n"/>
      <c r="V916" s="5" t="n"/>
      <c r="Z916" s="5" t="n"/>
    </row>
    <row r="917">
      <c r="D917" s="5" t="n"/>
      <c r="E917" s="5" t="n"/>
      <c r="F917" s="5" t="n"/>
      <c r="K917" s="5" t="n"/>
      <c r="S917" s="5" t="n"/>
      <c r="V917" s="5" t="n"/>
      <c r="Z917" s="5" t="n"/>
    </row>
    <row r="918">
      <c r="D918" s="5" t="n"/>
      <c r="E918" s="5" t="n"/>
      <c r="F918" s="5" t="n"/>
      <c r="K918" s="5" t="n"/>
      <c r="S918" s="5" t="n"/>
      <c r="V918" s="5" t="n"/>
      <c r="Z918" s="5" t="n"/>
    </row>
    <row r="919">
      <c r="D919" s="5" t="n"/>
      <c r="E919" s="5" t="n"/>
      <c r="F919" s="5" t="n"/>
      <c r="K919" s="5" t="n"/>
      <c r="S919" s="5" t="n"/>
      <c r="V919" s="5" t="n"/>
      <c r="Z919" s="5" t="n"/>
    </row>
    <row r="920">
      <c r="D920" s="5" t="n"/>
      <c r="E920" s="5" t="n"/>
      <c r="F920" s="5" t="n"/>
      <c r="K920" s="5" t="n"/>
      <c r="S920" s="5" t="n"/>
      <c r="V920" s="5" t="n"/>
      <c r="Z920" s="5" t="n"/>
    </row>
    <row r="921">
      <c r="D921" s="5" t="n"/>
      <c r="E921" s="5" t="n"/>
      <c r="F921" s="5" t="n"/>
      <c r="K921" s="5" t="n"/>
      <c r="S921" s="5" t="n"/>
      <c r="V921" s="5" t="n"/>
      <c r="Z921" s="5" t="n"/>
    </row>
    <row r="922">
      <c r="D922" s="5" t="n"/>
      <c r="E922" s="5" t="n"/>
      <c r="F922" s="5" t="n"/>
      <c r="K922" s="5" t="n"/>
      <c r="S922" s="5" t="n"/>
      <c r="V922" s="5" t="n"/>
      <c r="Z922" s="5" t="n"/>
    </row>
    <row r="923">
      <c r="D923" s="5" t="n"/>
      <c r="E923" s="5" t="n"/>
      <c r="F923" s="5" t="n"/>
      <c r="K923" s="5" t="n"/>
      <c r="S923" s="5" t="n"/>
      <c r="V923" s="5" t="n"/>
      <c r="Z923" s="5" t="n"/>
    </row>
    <row r="924">
      <c r="D924" s="5" t="n"/>
      <c r="E924" s="5" t="n"/>
      <c r="F924" s="5" t="n"/>
      <c r="K924" s="5" t="n"/>
      <c r="S924" s="5" t="n"/>
      <c r="V924" s="5" t="n"/>
      <c r="Z924" s="5" t="n"/>
    </row>
    <row r="925">
      <c r="D925" s="5" t="n"/>
      <c r="E925" s="5" t="n"/>
      <c r="F925" s="5" t="n"/>
      <c r="K925" s="5" t="n"/>
      <c r="S925" s="5" t="n"/>
      <c r="V925" s="5" t="n"/>
      <c r="Z925" s="5" t="n"/>
    </row>
    <row r="926">
      <c r="D926" s="5" t="n"/>
      <c r="E926" s="5" t="n"/>
      <c r="F926" s="5" t="n"/>
      <c r="K926" s="5" t="n"/>
      <c r="S926" s="5" t="n"/>
      <c r="V926" s="5" t="n"/>
      <c r="Z926" s="5" t="n"/>
    </row>
    <row r="927">
      <c r="D927" s="5" t="n"/>
      <c r="E927" s="5" t="n"/>
      <c r="F927" s="5" t="n"/>
      <c r="K927" s="5" t="n"/>
      <c r="S927" s="5" t="n"/>
      <c r="V927" s="5" t="n"/>
      <c r="Z927" s="5" t="n"/>
    </row>
    <row r="928">
      <c r="D928" s="5" t="n"/>
      <c r="E928" s="5" t="n"/>
      <c r="F928" s="5" t="n"/>
      <c r="K928" s="5" t="n"/>
      <c r="S928" s="5" t="n"/>
      <c r="V928" s="5" t="n"/>
      <c r="Z928" s="5" t="n"/>
    </row>
    <row r="929">
      <c r="D929" s="5" t="n"/>
      <c r="E929" s="5" t="n"/>
      <c r="F929" s="5" t="n"/>
      <c r="K929" s="5" t="n"/>
      <c r="S929" s="5" t="n"/>
      <c r="V929" s="5" t="n"/>
      <c r="Z929" s="5" t="n"/>
    </row>
    <row r="930">
      <c r="D930" s="5" t="n"/>
      <c r="E930" s="5" t="n"/>
      <c r="F930" s="5" t="n"/>
      <c r="K930" s="5" t="n"/>
      <c r="S930" s="5" t="n"/>
      <c r="V930" s="5" t="n"/>
      <c r="Z930" s="5" t="n"/>
    </row>
    <row r="931">
      <c r="D931" s="5" t="n"/>
      <c r="E931" s="5" t="n"/>
      <c r="F931" s="5" t="n"/>
      <c r="K931" s="5" t="n"/>
      <c r="S931" s="5" t="n"/>
      <c r="V931" s="5" t="n"/>
      <c r="Z931" s="5" t="n"/>
    </row>
    <row r="932">
      <c r="D932" s="5" t="n"/>
      <c r="E932" s="5" t="n"/>
      <c r="F932" s="5" t="n"/>
      <c r="K932" s="5" t="n"/>
      <c r="S932" s="5" t="n"/>
      <c r="V932" s="5" t="n"/>
      <c r="Z932" s="5" t="n"/>
    </row>
    <row r="933">
      <c r="D933" s="5" t="n"/>
      <c r="E933" s="5" t="n"/>
      <c r="F933" s="5" t="n"/>
      <c r="K933" s="5" t="n"/>
      <c r="S933" s="5" t="n"/>
      <c r="V933" s="5" t="n"/>
      <c r="Z933" s="5" t="n"/>
    </row>
    <row r="934">
      <c r="D934" s="5" t="n"/>
      <c r="E934" s="5" t="n"/>
      <c r="F934" s="5" t="n"/>
      <c r="K934" s="5" t="n"/>
      <c r="S934" s="5" t="n"/>
      <c r="V934" s="5" t="n"/>
      <c r="Z934" s="5" t="n"/>
    </row>
    <row r="935">
      <c r="D935" s="5" t="n"/>
      <c r="E935" s="5" t="n"/>
      <c r="F935" s="5" t="n"/>
      <c r="K935" s="5" t="n"/>
      <c r="S935" s="5" t="n"/>
      <c r="V935" s="5" t="n"/>
      <c r="Z935" s="5" t="n"/>
    </row>
    <row r="936">
      <c r="D936" s="5" t="n"/>
      <c r="E936" s="5" t="n"/>
      <c r="F936" s="5" t="n"/>
      <c r="K936" s="5" t="n"/>
      <c r="S936" s="5" t="n"/>
      <c r="V936" s="5" t="n"/>
      <c r="Z936" s="5" t="n"/>
    </row>
    <row r="937">
      <c r="D937" s="5" t="n"/>
      <c r="E937" s="5" t="n"/>
      <c r="F937" s="5" t="n"/>
      <c r="K937" s="5" t="n"/>
      <c r="S937" s="5" t="n"/>
      <c r="V937" s="5" t="n"/>
      <c r="Z937" s="5" t="n"/>
    </row>
    <row r="938">
      <c r="D938" s="5" t="n"/>
      <c r="E938" s="5" t="n"/>
      <c r="F938" s="5" t="n"/>
      <c r="K938" s="5" t="n"/>
      <c r="S938" s="5" t="n"/>
      <c r="V938" s="5" t="n"/>
      <c r="Z938" s="5" t="n"/>
    </row>
    <row r="939">
      <c r="D939" s="5" t="n"/>
      <c r="E939" s="5" t="n"/>
      <c r="F939" s="5" t="n"/>
      <c r="K939" s="5" t="n"/>
      <c r="S939" s="5" t="n"/>
      <c r="V939" s="5" t="n"/>
      <c r="Z939" s="5" t="n"/>
    </row>
    <row r="940">
      <c r="D940" s="5" t="n"/>
      <c r="E940" s="5" t="n"/>
      <c r="F940" s="5" t="n"/>
      <c r="K940" s="5" t="n"/>
      <c r="S940" s="5" t="n"/>
      <c r="V940" s="5" t="n"/>
      <c r="Z940" s="5" t="n"/>
    </row>
    <row r="941">
      <c r="D941" s="5" t="n"/>
      <c r="E941" s="5" t="n"/>
      <c r="F941" s="5" t="n"/>
      <c r="K941" s="5" t="n"/>
      <c r="S941" s="5" t="n"/>
      <c r="V941" s="5" t="n"/>
      <c r="Z941" s="5" t="n"/>
    </row>
    <row r="942">
      <c r="D942" s="5" t="n"/>
      <c r="E942" s="5" t="n"/>
      <c r="F942" s="5" t="n"/>
      <c r="K942" s="5" t="n"/>
      <c r="S942" s="5" t="n"/>
      <c r="V942" s="5" t="n"/>
      <c r="Z942" s="5" t="n"/>
    </row>
    <row r="943">
      <c r="D943" s="5" t="n"/>
      <c r="E943" s="5" t="n"/>
      <c r="F943" s="5" t="n"/>
      <c r="K943" s="5" t="n"/>
      <c r="S943" s="5" t="n"/>
      <c r="V943" s="5" t="n"/>
      <c r="Z943" s="5" t="n"/>
    </row>
    <row r="944">
      <c r="D944" s="5" t="n"/>
      <c r="E944" s="5" t="n"/>
      <c r="F944" s="5" t="n"/>
      <c r="K944" s="5" t="n"/>
      <c r="S944" s="5" t="n"/>
      <c r="V944" s="5" t="n"/>
      <c r="Z944" s="5" t="n"/>
    </row>
    <row r="945">
      <c r="D945" s="5" t="n"/>
      <c r="E945" s="5" t="n"/>
      <c r="F945" s="5" t="n"/>
      <c r="K945" s="5" t="n"/>
      <c r="S945" s="5" t="n"/>
      <c r="V945" s="5" t="n"/>
      <c r="Z945" s="5" t="n"/>
    </row>
    <row r="946">
      <c r="D946" s="5" t="n"/>
      <c r="E946" s="5" t="n"/>
      <c r="F946" s="5" t="n"/>
      <c r="K946" s="5" t="n"/>
      <c r="S946" s="5" t="n"/>
      <c r="V946" s="5" t="n"/>
      <c r="Z946" s="5" t="n"/>
    </row>
    <row r="947">
      <c r="D947" s="5" t="n"/>
      <c r="E947" s="5" t="n"/>
      <c r="F947" s="5" t="n"/>
      <c r="K947" s="5" t="n"/>
      <c r="S947" s="5" t="n"/>
      <c r="V947" s="5" t="n"/>
      <c r="Z947" s="5" t="n"/>
    </row>
    <row r="948">
      <c r="D948" s="5" t="n"/>
      <c r="E948" s="5" t="n"/>
      <c r="F948" s="5" t="n"/>
      <c r="K948" s="5" t="n"/>
      <c r="S948" s="5" t="n"/>
      <c r="V948" s="5" t="n"/>
      <c r="Z948" s="5" t="n"/>
    </row>
    <row r="949">
      <c r="D949" s="5" t="n"/>
      <c r="E949" s="5" t="n"/>
      <c r="F949" s="5" t="n"/>
      <c r="K949" s="5" t="n"/>
      <c r="S949" s="5" t="n"/>
      <c r="V949" s="5" t="n"/>
      <c r="Z949" s="5" t="n"/>
    </row>
    <row r="950">
      <c r="D950" s="5" t="n"/>
      <c r="E950" s="5" t="n"/>
      <c r="F950" s="5" t="n"/>
      <c r="K950" s="5" t="n"/>
      <c r="S950" s="5" t="n"/>
      <c r="V950" s="5" t="n"/>
      <c r="Z950" s="5" t="n"/>
    </row>
    <row r="951">
      <c r="D951" s="5" t="n"/>
      <c r="E951" s="5" t="n"/>
      <c r="F951" s="5" t="n"/>
      <c r="K951" s="5" t="n"/>
      <c r="S951" s="5" t="n"/>
      <c r="V951" s="5" t="n"/>
      <c r="Z951" s="5" t="n"/>
    </row>
    <row r="952">
      <c r="D952" s="5" t="n"/>
      <c r="E952" s="5" t="n"/>
      <c r="F952" s="5" t="n"/>
      <c r="K952" s="5" t="n"/>
      <c r="S952" s="5" t="n"/>
      <c r="V952" s="5" t="n"/>
      <c r="Z952" s="5" t="n"/>
    </row>
    <row r="953">
      <c r="D953" s="5" t="n"/>
      <c r="E953" s="5" t="n"/>
      <c r="F953" s="5" t="n"/>
      <c r="K953" s="5" t="n"/>
      <c r="S953" s="5" t="n"/>
      <c r="V953" s="5" t="n"/>
      <c r="Z953" s="5" t="n"/>
    </row>
    <row r="954">
      <c r="D954" s="5" t="n"/>
      <c r="E954" s="5" t="n"/>
      <c r="F954" s="5" t="n"/>
      <c r="K954" s="5" t="n"/>
      <c r="S954" s="5" t="n"/>
      <c r="V954" s="5" t="n"/>
      <c r="Z954" s="5" t="n"/>
    </row>
    <row r="955">
      <c r="D955" s="5" t="n"/>
      <c r="E955" s="5" t="n"/>
      <c r="F955" s="5" t="n"/>
      <c r="K955" s="5" t="n"/>
      <c r="S955" s="5" t="n"/>
      <c r="V955" s="5" t="n"/>
      <c r="Z955" s="5" t="n"/>
    </row>
    <row r="956">
      <c r="D956" s="5" t="n"/>
      <c r="E956" s="5" t="n"/>
      <c r="F956" s="5" t="n"/>
      <c r="K956" s="5" t="n"/>
      <c r="S956" s="5" t="n"/>
      <c r="V956" s="5" t="n"/>
      <c r="Z956" s="5" t="n"/>
    </row>
    <row r="957">
      <c r="D957" s="5" t="n"/>
      <c r="E957" s="5" t="n"/>
      <c r="F957" s="5" t="n"/>
      <c r="K957" s="5" t="n"/>
      <c r="S957" s="5" t="n"/>
      <c r="V957" s="5" t="n"/>
      <c r="Z957" s="5" t="n"/>
    </row>
    <row r="958">
      <c r="D958" s="5" t="n"/>
      <c r="E958" s="5" t="n"/>
      <c r="F958" s="5" t="n"/>
      <c r="K958" s="5" t="n"/>
      <c r="S958" s="5" t="n"/>
      <c r="V958" s="5" t="n"/>
      <c r="Z958" s="5" t="n"/>
    </row>
    <row r="959">
      <c r="D959" s="5" t="n"/>
      <c r="E959" s="5" t="n"/>
      <c r="F959" s="5" t="n"/>
      <c r="K959" s="5" t="n"/>
      <c r="S959" s="5" t="n"/>
      <c r="V959" s="5" t="n"/>
      <c r="Z959" s="5" t="n"/>
    </row>
    <row r="960">
      <c r="D960" s="5" t="n"/>
      <c r="E960" s="5" t="n"/>
      <c r="F960" s="5" t="n"/>
      <c r="K960" s="5" t="n"/>
      <c r="S960" s="5" t="n"/>
      <c r="V960" s="5" t="n"/>
      <c r="Z960" s="5" t="n"/>
    </row>
    <row r="961">
      <c r="D961" s="5" t="n"/>
      <c r="E961" s="5" t="n"/>
      <c r="F961" s="5" t="n"/>
      <c r="K961" s="5" t="n"/>
      <c r="S961" s="5" t="n"/>
      <c r="V961" s="5" t="n"/>
      <c r="Z961" s="5" t="n"/>
    </row>
    <row r="962">
      <c r="D962" s="5" t="n"/>
      <c r="E962" s="5" t="n"/>
      <c r="F962" s="5" t="n"/>
      <c r="K962" s="5" t="n"/>
      <c r="S962" s="5" t="n"/>
      <c r="V962" s="5" t="n"/>
      <c r="Z962" s="5" t="n"/>
    </row>
    <row r="963">
      <c r="D963" s="5" t="n"/>
      <c r="E963" s="5" t="n"/>
      <c r="F963" s="5" t="n"/>
      <c r="K963" s="5" t="n"/>
      <c r="S963" s="5" t="n"/>
      <c r="V963" s="5" t="n"/>
      <c r="Z963" s="5" t="n"/>
    </row>
    <row r="964">
      <c r="D964" s="5" t="n"/>
      <c r="E964" s="5" t="n"/>
      <c r="F964" s="5" t="n"/>
      <c r="K964" s="5" t="n"/>
      <c r="S964" s="5" t="n"/>
      <c r="V964" s="5" t="n"/>
      <c r="Z964" s="5" t="n"/>
    </row>
    <row r="965">
      <c r="D965" s="5" t="n"/>
      <c r="E965" s="5" t="n"/>
      <c r="F965" s="5" t="n"/>
      <c r="K965" s="5" t="n"/>
      <c r="S965" s="5" t="n"/>
      <c r="V965" s="5" t="n"/>
      <c r="Z965" s="5" t="n"/>
    </row>
    <row r="966">
      <c r="D966" s="5" t="n"/>
      <c r="E966" s="5" t="n"/>
      <c r="F966" s="5" t="n"/>
      <c r="K966" s="5" t="n"/>
      <c r="S966" s="5" t="n"/>
      <c r="V966" s="5" t="n"/>
      <c r="Z966" s="5" t="n"/>
    </row>
    <row r="967">
      <c r="D967" s="5" t="n"/>
      <c r="E967" s="5" t="n"/>
      <c r="F967" s="5" t="n"/>
      <c r="K967" s="5" t="n"/>
      <c r="S967" s="5" t="n"/>
      <c r="V967" s="5" t="n"/>
      <c r="Z967" s="5" t="n"/>
    </row>
    <row r="968">
      <c r="D968" s="5" t="n"/>
      <c r="E968" s="5" t="n"/>
      <c r="F968" s="5" t="n"/>
      <c r="K968" s="5" t="n"/>
      <c r="S968" s="5" t="n"/>
      <c r="V968" s="5" t="n"/>
      <c r="Z968" s="5" t="n"/>
    </row>
    <row r="969">
      <c r="D969" s="5" t="n"/>
      <c r="E969" s="5" t="n"/>
      <c r="F969" s="5" t="n"/>
      <c r="K969" s="5" t="n"/>
      <c r="S969" s="5" t="n"/>
      <c r="V969" s="5" t="n"/>
      <c r="Z969" s="5" t="n"/>
    </row>
    <row r="970">
      <c r="D970" s="5" t="n"/>
      <c r="E970" s="5" t="n"/>
      <c r="F970" s="5" t="n"/>
      <c r="K970" s="5" t="n"/>
      <c r="S970" s="5" t="n"/>
      <c r="V970" s="5" t="n"/>
      <c r="Z970" s="5" t="n"/>
    </row>
    <row r="971">
      <c r="D971" s="5" t="n"/>
      <c r="E971" s="5" t="n"/>
      <c r="F971" s="5" t="n"/>
      <c r="K971" s="5" t="n"/>
      <c r="S971" s="5" t="n"/>
      <c r="V971" s="5" t="n"/>
      <c r="Z971" s="5" t="n"/>
    </row>
    <row r="972">
      <c r="D972" s="5" t="n"/>
      <c r="E972" s="5" t="n"/>
      <c r="F972" s="5" t="n"/>
      <c r="K972" s="5" t="n"/>
      <c r="S972" s="5" t="n"/>
      <c r="V972" s="5" t="n"/>
      <c r="Z972" s="5" t="n"/>
    </row>
    <row r="973">
      <c r="D973" s="5" t="n"/>
      <c r="E973" s="5" t="n"/>
      <c r="F973" s="5" t="n"/>
      <c r="K973" s="5" t="n"/>
      <c r="S973" s="5" t="n"/>
      <c r="V973" s="5" t="n"/>
      <c r="Z973" s="5" t="n"/>
    </row>
    <row r="974">
      <c r="D974" s="5" t="n"/>
      <c r="E974" s="5" t="n"/>
      <c r="F974" s="5" t="n"/>
      <c r="K974" s="5" t="n"/>
      <c r="S974" s="5" t="n"/>
      <c r="V974" s="5" t="n"/>
      <c r="Z974" s="5" t="n"/>
    </row>
    <row r="975">
      <c r="D975" s="5" t="n"/>
      <c r="E975" s="5" t="n"/>
      <c r="F975" s="5" t="n"/>
      <c r="K975" s="5" t="n"/>
      <c r="S975" s="5" t="n"/>
      <c r="V975" s="5" t="n"/>
      <c r="Z975" s="5" t="n"/>
    </row>
    <row r="976">
      <c r="D976" s="5" t="n"/>
      <c r="E976" s="5" t="n"/>
      <c r="F976" s="5" t="n"/>
      <c r="K976" s="5" t="n"/>
      <c r="S976" s="5" t="n"/>
      <c r="V976" s="5" t="n"/>
      <c r="Z976" s="5" t="n"/>
    </row>
    <row r="977">
      <c r="D977" s="5" t="n"/>
      <c r="E977" s="5" t="n"/>
      <c r="F977" s="5" t="n"/>
      <c r="K977" s="5" t="n"/>
      <c r="S977" s="5" t="n"/>
      <c r="V977" s="5" t="n"/>
      <c r="Z977" s="5" t="n"/>
    </row>
    <row r="978">
      <c r="D978" s="5" t="n"/>
      <c r="E978" s="5" t="n"/>
      <c r="F978" s="5" t="n"/>
      <c r="K978" s="5" t="n"/>
      <c r="S978" s="5" t="n"/>
      <c r="V978" s="5" t="n"/>
      <c r="Z978" s="5" t="n"/>
    </row>
    <row r="979">
      <c r="D979" s="5" t="n"/>
      <c r="E979" s="5" t="n"/>
      <c r="F979" s="5" t="n"/>
      <c r="K979" s="5" t="n"/>
      <c r="S979" s="5" t="n"/>
      <c r="V979" s="5" t="n"/>
      <c r="Z979" s="5" t="n"/>
    </row>
    <row r="980">
      <c r="D980" s="5" t="n"/>
      <c r="E980" s="5" t="n"/>
      <c r="F980" s="5" t="n"/>
      <c r="K980" s="5" t="n"/>
      <c r="S980" s="5" t="n"/>
      <c r="V980" s="5" t="n"/>
      <c r="Z980" s="5" t="n"/>
    </row>
    <row r="981">
      <c r="D981" s="5" t="n"/>
      <c r="E981" s="5" t="n"/>
      <c r="F981" s="5" t="n"/>
      <c r="K981" s="5" t="n"/>
      <c r="S981" s="5" t="n"/>
      <c r="V981" s="5" t="n"/>
      <c r="Z981" s="5" t="n"/>
    </row>
    <row r="982">
      <c r="D982" s="5" t="n"/>
      <c r="E982" s="5" t="n"/>
      <c r="F982" s="5" t="n"/>
      <c r="K982" s="5" t="n"/>
      <c r="S982" s="5" t="n"/>
      <c r="V982" s="5" t="n"/>
      <c r="Z982" s="5" t="n"/>
    </row>
    <row r="983">
      <c r="D983" s="5" t="n"/>
      <c r="E983" s="5" t="n"/>
      <c r="F983" s="5" t="n"/>
      <c r="K983" s="5" t="n"/>
      <c r="S983" s="5" t="n"/>
      <c r="V983" s="5" t="n"/>
      <c r="Z983" s="5" t="n"/>
    </row>
    <row r="984">
      <c r="D984" s="5" t="n"/>
      <c r="E984" s="5" t="n"/>
      <c r="F984" s="5" t="n"/>
      <c r="K984" s="5" t="n"/>
      <c r="S984" s="5" t="n"/>
      <c r="V984" s="5" t="n"/>
      <c r="Z984" s="5" t="n"/>
    </row>
    <row r="985">
      <c r="D985" s="5" t="n"/>
      <c r="E985" s="5" t="n"/>
      <c r="F985" s="5" t="n"/>
      <c r="K985" s="5" t="n"/>
      <c r="S985" s="5" t="n"/>
      <c r="V985" s="5" t="n"/>
      <c r="Z985" s="5" t="n"/>
    </row>
    <row r="986">
      <c r="D986" s="5" t="n"/>
      <c r="E986" s="5" t="n"/>
      <c r="F986" s="5" t="n"/>
      <c r="K986" s="5" t="n"/>
      <c r="S986" s="5" t="n"/>
      <c r="V986" s="5" t="n"/>
      <c r="Z986" s="5" t="n"/>
    </row>
    <row r="987">
      <c r="D987" s="5" t="n"/>
      <c r="E987" s="5" t="n"/>
      <c r="F987" s="5" t="n"/>
      <c r="K987" s="5" t="n"/>
      <c r="S987" s="5" t="n"/>
      <c r="V987" s="5" t="n"/>
      <c r="Z987" s="5" t="n"/>
    </row>
    <row r="988">
      <c r="D988" s="5" t="n"/>
      <c r="E988" s="5" t="n"/>
      <c r="F988" s="5" t="n"/>
      <c r="K988" s="5" t="n"/>
      <c r="S988" s="5" t="n"/>
      <c r="V988" s="5" t="n"/>
      <c r="Z988" s="5" t="n"/>
    </row>
    <row r="989">
      <c r="D989" s="5" t="n"/>
      <c r="E989" s="5" t="n"/>
      <c r="F989" s="5" t="n"/>
      <c r="K989" s="5" t="n"/>
      <c r="S989" s="5" t="n"/>
      <c r="V989" s="5" t="n"/>
      <c r="Z989" s="5" t="n"/>
    </row>
    <row r="990">
      <c r="D990" s="5" t="n"/>
      <c r="E990" s="5" t="n"/>
      <c r="F990" s="5" t="n"/>
      <c r="K990" s="5" t="n"/>
      <c r="S990" s="5" t="n"/>
      <c r="V990" s="5" t="n"/>
      <c r="Z990" s="5" t="n"/>
    </row>
    <row r="991">
      <c r="D991" s="5" t="n"/>
      <c r="E991" s="5" t="n"/>
      <c r="F991" s="5" t="n"/>
      <c r="K991" s="5" t="n"/>
      <c r="S991" s="5" t="n"/>
      <c r="V991" s="5" t="n"/>
      <c r="Z991" s="5" t="n"/>
    </row>
    <row r="992">
      <c r="D992" s="5" t="n"/>
      <c r="E992" s="5" t="n"/>
      <c r="F992" s="5" t="n"/>
      <c r="K992" s="5" t="n"/>
      <c r="S992" s="5" t="n"/>
      <c r="V992" s="5" t="n"/>
      <c r="Z992" s="5" t="n"/>
    </row>
    <row r="993">
      <c r="D993" s="5" t="n"/>
      <c r="E993" s="5" t="n"/>
      <c r="F993" s="5" t="n"/>
      <c r="K993" s="5" t="n"/>
      <c r="S993" s="5" t="n"/>
      <c r="V993" s="5" t="n"/>
      <c r="Z993" s="5" t="n"/>
    </row>
    <row r="994">
      <c r="D994" s="5" t="n"/>
      <c r="E994" s="5" t="n"/>
      <c r="F994" s="5" t="n"/>
      <c r="K994" s="5" t="n"/>
      <c r="S994" s="5" t="n"/>
      <c r="V994" s="5" t="n"/>
      <c r="Z994" s="5" t="n"/>
    </row>
    <row r="995">
      <c r="D995" s="5" t="n"/>
      <c r="E995" s="5" t="n"/>
      <c r="F995" s="5" t="n"/>
      <c r="K995" s="5" t="n"/>
      <c r="S995" s="5" t="n"/>
      <c r="V995" s="5" t="n"/>
      <c r="Z995" s="5" t="n"/>
    </row>
    <row r="996">
      <c r="D996" s="5" t="n"/>
      <c r="E996" s="5" t="n"/>
      <c r="F996" s="5" t="n"/>
      <c r="K996" s="5" t="n"/>
      <c r="S996" s="5" t="n"/>
      <c r="V996" s="5" t="n"/>
      <c r="Z996" s="5" t="n"/>
    </row>
    <row r="997">
      <c r="D997" s="5" t="n"/>
      <c r="E997" s="5" t="n"/>
      <c r="F997" s="5" t="n"/>
      <c r="K997" s="5" t="n"/>
      <c r="S997" s="5" t="n"/>
      <c r="V997" s="5" t="n"/>
      <c r="Z997" s="5" t="n"/>
    </row>
    <row r="998">
      <c r="D998" s="5" t="n"/>
      <c r="E998" s="5" t="n"/>
      <c r="F998" s="5" t="n"/>
      <c r="K998" s="5" t="n"/>
      <c r="S998" s="5" t="n"/>
      <c r="V998" s="5" t="n"/>
      <c r="Z998" s="5" t="n"/>
    </row>
    <row r="999">
      <c r="D999" s="5" t="n"/>
      <c r="E999" s="5" t="n"/>
      <c r="F999" s="5" t="n"/>
      <c r="K999" s="5" t="n"/>
      <c r="S999" s="5" t="n"/>
      <c r="V999" s="5" t="n"/>
      <c r="Z999" s="5" t="n"/>
    </row>
    <row r="1000">
      <c r="D1000" s="5" t="n"/>
      <c r="E1000" s="5" t="n"/>
      <c r="F1000" s="5" t="n"/>
      <c r="K1000" s="5" t="n"/>
      <c r="S1000" s="5" t="n"/>
      <c r="V1000" s="5" t="n"/>
      <c r="Z1000" s="5" t="n"/>
    </row>
    <row r="1001">
      <c r="D1001" s="5" t="n"/>
      <c r="E1001" s="5" t="n"/>
      <c r="F1001" s="5" t="n"/>
      <c r="K1001" s="5" t="n"/>
      <c r="S1001" s="5" t="n"/>
      <c r="V1001" s="5" t="n"/>
      <c r="Z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2025-10-30T18:14:29Z</dcterms:created>
  <dcterms:modified xmlns:dcterms="http://purl.org/dc/terms/" xmlns:xsi="http://www.w3.org/2001/XMLSchema-instance" xsi:type="dcterms:W3CDTF">2025-10-30T18:14:29Z</dcterms:modified>
</cp:coreProperties>
</file>